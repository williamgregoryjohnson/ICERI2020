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mygsu-my.sharepoint.com/personal/wjohnson6_gsu_edu/Documents/teaching/CSC4350/Team_Topics/"/>
    </mc:Choice>
  </mc:AlternateContent>
  <xr:revisionPtr revIDLastSave="0" documentId="8_{2C433382-5068-AC4B-B277-DA3D5570AA3D}" xr6:coauthVersionLast="45" xr6:coauthVersionMax="45" xr10:uidLastSave="{00000000-0000-0000-0000-000000000000}"/>
  <bookViews>
    <workbookView xWindow="41680" yWindow="5520" windowWidth="33600" windowHeight="17440" xr2:uid="{00000000-000D-0000-FFFF-FFFF00000000}"/>
  </bookViews>
  <sheets>
    <sheet name="MAPre_newStud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" i="1" l="1"/>
  <c r="Q2" i="1" s="1"/>
  <c r="Q18" i="1"/>
  <c r="P3" i="1" l="1"/>
  <c r="P11" i="1"/>
  <c r="P18" i="1"/>
  <c r="R18" i="1"/>
  <c r="R2" i="1"/>
  <c r="P2" i="1"/>
  <c r="O3" i="1"/>
  <c r="Q3" i="1" s="1"/>
  <c r="O4" i="1"/>
  <c r="Q4" i="1" s="1"/>
  <c r="O5" i="1"/>
  <c r="Q5" i="1" s="1"/>
  <c r="O6" i="1"/>
  <c r="Q6" i="1" s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9" i="1"/>
  <c r="Q19" i="1" s="1"/>
  <c r="O20" i="1"/>
  <c r="Q20" i="1" s="1"/>
  <c r="O21" i="1"/>
  <c r="Q21" i="1" s="1"/>
  <c r="O22" i="1"/>
  <c r="Q22" i="1" s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P19" i="1" l="1"/>
  <c r="R6" i="1"/>
  <c r="P6" i="1"/>
  <c r="P21" i="1"/>
  <c r="R10" i="1"/>
  <c r="R20" i="1"/>
  <c r="P15" i="1"/>
  <c r="P7" i="1"/>
  <c r="R14" i="1"/>
  <c r="Q354" i="1"/>
  <c r="R354" i="1"/>
  <c r="P354" i="1"/>
  <c r="Q346" i="1"/>
  <c r="R346" i="1"/>
  <c r="P346" i="1"/>
  <c r="Q338" i="1"/>
  <c r="R338" i="1"/>
  <c r="P338" i="1"/>
  <c r="Q330" i="1"/>
  <c r="R330" i="1"/>
  <c r="P330" i="1"/>
  <c r="Q322" i="1"/>
  <c r="R322" i="1"/>
  <c r="P322" i="1"/>
  <c r="Q310" i="1"/>
  <c r="R310" i="1"/>
  <c r="P310" i="1"/>
  <c r="Q302" i="1"/>
  <c r="R302" i="1"/>
  <c r="P302" i="1"/>
  <c r="Q294" i="1"/>
  <c r="R294" i="1"/>
  <c r="P294" i="1"/>
  <c r="Q286" i="1"/>
  <c r="R286" i="1"/>
  <c r="P286" i="1"/>
  <c r="Q278" i="1"/>
  <c r="R278" i="1"/>
  <c r="P278" i="1"/>
  <c r="Q270" i="1"/>
  <c r="R270" i="1"/>
  <c r="P270" i="1"/>
  <c r="Q262" i="1"/>
  <c r="R262" i="1"/>
  <c r="P262" i="1"/>
  <c r="Q254" i="1"/>
  <c r="R254" i="1"/>
  <c r="P254" i="1"/>
  <c r="P246" i="1"/>
  <c r="Q246" i="1"/>
  <c r="R246" i="1"/>
  <c r="P238" i="1"/>
  <c r="Q238" i="1"/>
  <c r="R238" i="1"/>
  <c r="P230" i="1"/>
  <c r="Q230" i="1"/>
  <c r="R230" i="1"/>
  <c r="P222" i="1"/>
  <c r="Q222" i="1"/>
  <c r="R222" i="1"/>
  <c r="P214" i="1"/>
  <c r="Q214" i="1"/>
  <c r="R214" i="1"/>
  <c r="P206" i="1"/>
  <c r="Q206" i="1"/>
  <c r="R206" i="1"/>
  <c r="P194" i="1"/>
  <c r="Q194" i="1"/>
  <c r="R194" i="1"/>
  <c r="P186" i="1"/>
  <c r="Q186" i="1"/>
  <c r="R186" i="1"/>
  <c r="P178" i="1"/>
  <c r="Q178" i="1"/>
  <c r="R178" i="1"/>
  <c r="P170" i="1"/>
  <c r="Q170" i="1"/>
  <c r="R170" i="1"/>
  <c r="P162" i="1"/>
  <c r="Q162" i="1"/>
  <c r="R162" i="1"/>
  <c r="P154" i="1"/>
  <c r="Q154" i="1"/>
  <c r="R154" i="1"/>
  <c r="P146" i="1"/>
  <c r="Q146" i="1"/>
  <c r="R146" i="1"/>
  <c r="P138" i="1"/>
  <c r="Q138" i="1"/>
  <c r="R138" i="1"/>
  <c r="P130" i="1"/>
  <c r="Q130" i="1"/>
  <c r="R130" i="1"/>
  <c r="P122" i="1"/>
  <c r="Q122" i="1"/>
  <c r="R122" i="1"/>
  <c r="P114" i="1"/>
  <c r="Q114" i="1"/>
  <c r="R114" i="1"/>
  <c r="P106" i="1"/>
  <c r="Q106" i="1"/>
  <c r="R106" i="1"/>
  <c r="P98" i="1"/>
  <c r="Q98" i="1"/>
  <c r="R98" i="1"/>
  <c r="P90" i="1"/>
  <c r="R90" i="1"/>
  <c r="Q90" i="1"/>
  <c r="P82" i="1"/>
  <c r="R82" i="1"/>
  <c r="Q82" i="1"/>
  <c r="P74" i="1"/>
  <c r="R74" i="1"/>
  <c r="Q74" i="1"/>
  <c r="P66" i="1"/>
  <c r="R66" i="1"/>
  <c r="Q66" i="1"/>
  <c r="P58" i="1"/>
  <c r="R58" i="1"/>
  <c r="Q58" i="1"/>
  <c r="P50" i="1"/>
  <c r="R50" i="1"/>
  <c r="Q50" i="1"/>
  <c r="P42" i="1"/>
  <c r="R42" i="1"/>
  <c r="Q42" i="1"/>
  <c r="P34" i="1"/>
  <c r="R34" i="1"/>
  <c r="Q34" i="1"/>
  <c r="P17" i="1"/>
  <c r="P13" i="1"/>
  <c r="P353" i="1"/>
  <c r="Q353" i="1"/>
  <c r="R353" i="1"/>
  <c r="P345" i="1"/>
  <c r="Q345" i="1"/>
  <c r="R345" i="1"/>
  <c r="P337" i="1"/>
  <c r="Q337" i="1"/>
  <c r="R337" i="1"/>
  <c r="P329" i="1"/>
  <c r="Q329" i="1"/>
  <c r="R329" i="1"/>
  <c r="P321" i="1"/>
  <c r="Q321" i="1"/>
  <c r="R321" i="1"/>
  <c r="P313" i="1"/>
  <c r="Q313" i="1"/>
  <c r="R313" i="1"/>
  <c r="P305" i="1"/>
  <c r="Q305" i="1"/>
  <c r="R305" i="1"/>
  <c r="P297" i="1"/>
  <c r="Q297" i="1"/>
  <c r="R297" i="1"/>
  <c r="P289" i="1"/>
  <c r="Q289" i="1"/>
  <c r="R289" i="1"/>
  <c r="P277" i="1"/>
  <c r="Q277" i="1"/>
  <c r="R277" i="1"/>
  <c r="P269" i="1"/>
  <c r="Q269" i="1"/>
  <c r="R269" i="1"/>
  <c r="P261" i="1"/>
  <c r="Q261" i="1"/>
  <c r="R261" i="1"/>
  <c r="P253" i="1"/>
  <c r="R253" i="1"/>
  <c r="P245" i="1"/>
  <c r="R245" i="1"/>
  <c r="Q245" i="1"/>
  <c r="P237" i="1"/>
  <c r="R237" i="1"/>
  <c r="Q237" i="1"/>
  <c r="P229" i="1"/>
  <c r="R229" i="1"/>
  <c r="Q229" i="1"/>
  <c r="P221" i="1"/>
  <c r="R221" i="1"/>
  <c r="Q221" i="1"/>
  <c r="P217" i="1"/>
  <c r="Q217" i="1"/>
  <c r="R217" i="1"/>
  <c r="P209" i="1"/>
  <c r="Q209" i="1"/>
  <c r="R209" i="1"/>
  <c r="P201" i="1"/>
  <c r="Q201" i="1"/>
  <c r="R201" i="1"/>
  <c r="P189" i="1"/>
  <c r="R189" i="1"/>
  <c r="Q189" i="1"/>
  <c r="P181" i="1"/>
  <c r="R181" i="1"/>
  <c r="Q181" i="1"/>
  <c r="P173" i="1"/>
  <c r="R173" i="1"/>
  <c r="Q173" i="1"/>
  <c r="P165" i="1"/>
  <c r="R165" i="1"/>
  <c r="Q165" i="1"/>
  <c r="P157" i="1"/>
  <c r="R157" i="1"/>
  <c r="Q157" i="1"/>
  <c r="P149" i="1"/>
  <c r="R149" i="1"/>
  <c r="Q149" i="1"/>
  <c r="P141" i="1"/>
  <c r="R141" i="1"/>
  <c r="Q141" i="1"/>
  <c r="P133" i="1"/>
  <c r="R133" i="1"/>
  <c r="Q133" i="1"/>
  <c r="P125" i="1"/>
  <c r="R125" i="1"/>
  <c r="Q125" i="1"/>
  <c r="P117" i="1"/>
  <c r="R117" i="1"/>
  <c r="Q117" i="1"/>
  <c r="P109" i="1"/>
  <c r="R109" i="1"/>
  <c r="Q109" i="1"/>
  <c r="P101" i="1"/>
  <c r="R101" i="1"/>
  <c r="Q101" i="1"/>
  <c r="P93" i="1"/>
  <c r="R93" i="1"/>
  <c r="Q93" i="1"/>
  <c r="R85" i="1"/>
  <c r="Q85" i="1"/>
  <c r="P85" i="1"/>
  <c r="R77" i="1"/>
  <c r="Q77" i="1"/>
  <c r="P77" i="1"/>
  <c r="R69" i="1"/>
  <c r="Q69" i="1"/>
  <c r="P69" i="1"/>
  <c r="R61" i="1"/>
  <c r="Q61" i="1"/>
  <c r="P61" i="1"/>
  <c r="R53" i="1"/>
  <c r="Q53" i="1"/>
  <c r="P53" i="1"/>
  <c r="R45" i="1"/>
  <c r="Q45" i="1"/>
  <c r="P45" i="1"/>
  <c r="R37" i="1"/>
  <c r="Q37" i="1"/>
  <c r="P37" i="1"/>
  <c r="R29" i="1"/>
  <c r="Q29" i="1"/>
  <c r="P29" i="1"/>
  <c r="R25" i="1"/>
  <c r="P25" i="1"/>
  <c r="Q25" i="1"/>
  <c r="R12" i="1"/>
  <c r="R8" i="1"/>
  <c r="P352" i="1"/>
  <c r="R352" i="1"/>
  <c r="Q352" i="1"/>
  <c r="P344" i="1"/>
  <c r="R344" i="1"/>
  <c r="Q344" i="1"/>
  <c r="P336" i="1"/>
  <c r="R336" i="1"/>
  <c r="Q336" i="1"/>
  <c r="P332" i="1"/>
  <c r="Q332" i="1"/>
  <c r="R332" i="1"/>
  <c r="P328" i="1"/>
  <c r="R328" i="1"/>
  <c r="Q328" i="1"/>
  <c r="P324" i="1"/>
  <c r="Q324" i="1"/>
  <c r="R324" i="1"/>
  <c r="P320" i="1"/>
  <c r="R320" i="1"/>
  <c r="Q320" i="1"/>
  <c r="P316" i="1"/>
  <c r="R316" i="1"/>
  <c r="Q316" i="1"/>
  <c r="P312" i="1"/>
  <c r="R312" i="1"/>
  <c r="Q312" i="1"/>
  <c r="P308" i="1"/>
  <c r="R308" i="1"/>
  <c r="Q308" i="1"/>
  <c r="P304" i="1"/>
  <c r="R304" i="1"/>
  <c r="Q304" i="1"/>
  <c r="P300" i="1"/>
  <c r="Q300" i="1"/>
  <c r="R300" i="1"/>
  <c r="P296" i="1"/>
  <c r="R296" i="1"/>
  <c r="Q296" i="1"/>
  <c r="P292" i="1"/>
  <c r="Q292" i="1"/>
  <c r="R292" i="1"/>
  <c r="P288" i="1"/>
  <c r="R288" i="1"/>
  <c r="Q288" i="1"/>
  <c r="P284" i="1"/>
  <c r="Q284" i="1"/>
  <c r="R284" i="1"/>
  <c r="P280" i="1"/>
  <c r="R280" i="1"/>
  <c r="Q280" i="1"/>
  <c r="P276" i="1"/>
  <c r="Q276" i="1"/>
  <c r="R276" i="1"/>
  <c r="P272" i="1"/>
  <c r="R272" i="1"/>
  <c r="Q272" i="1"/>
  <c r="P268" i="1"/>
  <c r="Q268" i="1"/>
  <c r="R268" i="1"/>
  <c r="P264" i="1"/>
  <c r="R264" i="1"/>
  <c r="Q264" i="1"/>
  <c r="P260" i="1"/>
  <c r="Q260" i="1"/>
  <c r="R260" i="1"/>
  <c r="P256" i="1"/>
  <c r="R256" i="1"/>
  <c r="Q256" i="1"/>
  <c r="R252" i="1"/>
  <c r="P252" i="1"/>
  <c r="Q252" i="1"/>
  <c r="R248" i="1"/>
  <c r="Q248" i="1"/>
  <c r="P248" i="1"/>
  <c r="R244" i="1"/>
  <c r="P244" i="1"/>
  <c r="Q244" i="1"/>
  <c r="R240" i="1"/>
  <c r="Q240" i="1"/>
  <c r="P240" i="1"/>
  <c r="R236" i="1"/>
  <c r="Q236" i="1"/>
  <c r="P236" i="1"/>
  <c r="R232" i="1"/>
  <c r="Q232" i="1"/>
  <c r="P232" i="1"/>
  <c r="R228" i="1"/>
  <c r="P228" i="1"/>
  <c r="Q228" i="1"/>
  <c r="R224" i="1"/>
  <c r="Q224" i="1"/>
  <c r="P224" i="1"/>
  <c r="R220" i="1"/>
  <c r="Q220" i="1"/>
  <c r="P220" i="1"/>
  <c r="R216" i="1"/>
  <c r="Q216" i="1"/>
  <c r="P216" i="1"/>
  <c r="R212" i="1"/>
  <c r="Q212" i="1"/>
  <c r="P212" i="1"/>
  <c r="R208" i="1"/>
  <c r="Q208" i="1"/>
  <c r="P208" i="1"/>
  <c r="R204" i="1"/>
  <c r="P204" i="1"/>
  <c r="Q204" i="1"/>
  <c r="R200" i="1"/>
  <c r="Q200" i="1"/>
  <c r="P200" i="1"/>
  <c r="R196" i="1"/>
  <c r="P196" i="1"/>
  <c r="Q196" i="1"/>
  <c r="R192" i="1"/>
  <c r="Q192" i="1"/>
  <c r="P192" i="1"/>
  <c r="R188" i="1"/>
  <c r="P188" i="1"/>
  <c r="Q188" i="1"/>
  <c r="R184" i="1"/>
  <c r="Q184" i="1"/>
  <c r="P184" i="1"/>
  <c r="R180" i="1"/>
  <c r="Q180" i="1"/>
  <c r="P180" i="1"/>
  <c r="R176" i="1"/>
  <c r="Q176" i="1"/>
  <c r="P176" i="1"/>
  <c r="R172" i="1"/>
  <c r="Q172" i="1"/>
  <c r="P172" i="1"/>
  <c r="R168" i="1"/>
  <c r="Q168" i="1"/>
  <c r="P168" i="1"/>
  <c r="R164" i="1"/>
  <c r="P164" i="1"/>
  <c r="Q164" i="1"/>
  <c r="R160" i="1"/>
  <c r="Q160" i="1"/>
  <c r="P160" i="1"/>
  <c r="R156" i="1"/>
  <c r="P156" i="1"/>
  <c r="Q156" i="1"/>
  <c r="R152" i="1"/>
  <c r="Q152" i="1"/>
  <c r="P152" i="1"/>
  <c r="R148" i="1"/>
  <c r="P148" i="1"/>
  <c r="Q148" i="1"/>
  <c r="R144" i="1"/>
  <c r="Q144" i="1"/>
  <c r="P144" i="1"/>
  <c r="R140" i="1"/>
  <c r="P140" i="1"/>
  <c r="Q140" i="1"/>
  <c r="R136" i="1"/>
  <c r="Q136" i="1"/>
  <c r="P136" i="1"/>
  <c r="R132" i="1"/>
  <c r="P132" i="1"/>
  <c r="Q132" i="1"/>
  <c r="R128" i="1"/>
  <c r="Q128" i="1"/>
  <c r="P128" i="1"/>
  <c r="R124" i="1"/>
  <c r="P124" i="1"/>
  <c r="Q124" i="1"/>
  <c r="R120" i="1"/>
  <c r="Q120" i="1"/>
  <c r="P120" i="1"/>
  <c r="R116" i="1"/>
  <c r="P116" i="1"/>
  <c r="Q116" i="1"/>
  <c r="R112" i="1"/>
  <c r="Q112" i="1"/>
  <c r="P112" i="1"/>
  <c r="R108" i="1"/>
  <c r="P108" i="1"/>
  <c r="Q108" i="1"/>
  <c r="R104" i="1"/>
  <c r="Q104" i="1"/>
  <c r="P104" i="1"/>
  <c r="R100" i="1"/>
  <c r="Q100" i="1"/>
  <c r="P100" i="1"/>
  <c r="R96" i="1"/>
  <c r="Q96" i="1"/>
  <c r="P96" i="1"/>
  <c r="R92" i="1"/>
  <c r="Q92" i="1"/>
  <c r="P92" i="1"/>
  <c r="Q88" i="1"/>
  <c r="R88" i="1"/>
  <c r="P88" i="1"/>
  <c r="Q84" i="1"/>
  <c r="R84" i="1"/>
  <c r="P84" i="1"/>
  <c r="Q80" i="1"/>
  <c r="R80" i="1"/>
  <c r="P80" i="1"/>
  <c r="Q76" i="1"/>
  <c r="R76" i="1"/>
  <c r="P76" i="1"/>
  <c r="Q72" i="1"/>
  <c r="R72" i="1"/>
  <c r="P72" i="1"/>
  <c r="Q68" i="1"/>
  <c r="R68" i="1"/>
  <c r="P68" i="1"/>
  <c r="Q64" i="1"/>
  <c r="R64" i="1"/>
  <c r="P64" i="1"/>
  <c r="Q60" i="1"/>
  <c r="R60" i="1"/>
  <c r="P60" i="1"/>
  <c r="Q56" i="1"/>
  <c r="R56" i="1"/>
  <c r="P56" i="1"/>
  <c r="Q52" i="1"/>
  <c r="R52" i="1"/>
  <c r="P52" i="1"/>
  <c r="Q48" i="1"/>
  <c r="R48" i="1"/>
  <c r="P48" i="1"/>
  <c r="Q44" i="1"/>
  <c r="R44" i="1"/>
  <c r="P44" i="1"/>
  <c r="Q40" i="1"/>
  <c r="R40" i="1"/>
  <c r="P40" i="1"/>
  <c r="Q36" i="1"/>
  <c r="R36" i="1"/>
  <c r="P36" i="1"/>
  <c r="Q32" i="1"/>
  <c r="R32" i="1"/>
  <c r="P32" i="1"/>
  <c r="Q28" i="1"/>
  <c r="R28" i="1"/>
  <c r="P28" i="1"/>
  <c r="Q24" i="1"/>
  <c r="R24" i="1"/>
  <c r="P24" i="1"/>
  <c r="P22" i="1"/>
  <c r="P20" i="1"/>
  <c r="P16" i="1"/>
  <c r="P14" i="1"/>
  <c r="P12" i="1"/>
  <c r="P10" i="1"/>
  <c r="P8" i="1"/>
  <c r="P4" i="1"/>
  <c r="R358" i="1"/>
  <c r="Q358" i="1"/>
  <c r="P358" i="1"/>
  <c r="Q350" i="1"/>
  <c r="R350" i="1"/>
  <c r="P350" i="1"/>
  <c r="Q342" i="1"/>
  <c r="R342" i="1"/>
  <c r="P342" i="1"/>
  <c r="Q334" i="1"/>
  <c r="R334" i="1"/>
  <c r="P334" i="1"/>
  <c r="Q326" i="1"/>
  <c r="R326" i="1"/>
  <c r="P326" i="1"/>
  <c r="Q318" i="1"/>
  <c r="R318" i="1"/>
  <c r="P318" i="1"/>
  <c r="Q314" i="1"/>
  <c r="R314" i="1"/>
  <c r="P314" i="1"/>
  <c r="Q306" i="1"/>
  <c r="R306" i="1"/>
  <c r="P306" i="1"/>
  <c r="Q298" i="1"/>
  <c r="R298" i="1"/>
  <c r="P298" i="1"/>
  <c r="Q290" i="1"/>
  <c r="R290" i="1"/>
  <c r="P290" i="1"/>
  <c r="Q282" i="1"/>
  <c r="R282" i="1"/>
  <c r="P282" i="1"/>
  <c r="Q274" i="1"/>
  <c r="R274" i="1"/>
  <c r="P274" i="1"/>
  <c r="Q266" i="1"/>
  <c r="R266" i="1"/>
  <c r="P266" i="1"/>
  <c r="Q258" i="1"/>
  <c r="R258" i="1"/>
  <c r="P258" i="1"/>
  <c r="P250" i="1"/>
  <c r="Q250" i="1"/>
  <c r="R250" i="1"/>
  <c r="P242" i="1"/>
  <c r="Q242" i="1"/>
  <c r="R242" i="1"/>
  <c r="P234" i="1"/>
  <c r="Q234" i="1"/>
  <c r="R234" i="1"/>
  <c r="P226" i="1"/>
  <c r="Q226" i="1"/>
  <c r="R226" i="1"/>
  <c r="P218" i="1"/>
  <c r="Q218" i="1"/>
  <c r="R218" i="1"/>
  <c r="P210" i="1"/>
  <c r="Q210" i="1"/>
  <c r="R210" i="1"/>
  <c r="P202" i="1"/>
  <c r="Q202" i="1"/>
  <c r="R202" i="1"/>
  <c r="P198" i="1"/>
  <c r="Q198" i="1"/>
  <c r="R198" i="1"/>
  <c r="P190" i="1"/>
  <c r="Q190" i="1"/>
  <c r="R190" i="1"/>
  <c r="P182" i="1"/>
  <c r="Q182" i="1"/>
  <c r="R182" i="1"/>
  <c r="P174" i="1"/>
  <c r="Q174" i="1"/>
  <c r="R174" i="1"/>
  <c r="P166" i="1"/>
  <c r="Q166" i="1"/>
  <c r="R166" i="1"/>
  <c r="P158" i="1"/>
  <c r="Q158" i="1"/>
  <c r="R158" i="1"/>
  <c r="P150" i="1"/>
  <c r="Q150" i="1"/>
  <c r="R150" i="1"/>
  <c r="P142" i="1"/>
  <c r="Q142" i="1"/>
  <c r="R142" i="1"/>
  <c r="P134" i="1"/>
  <c r="Q134" i="1"/>
  <c r="R134" i="1"/>
  <c r="P126" i="1"/>
  <c r="Q126" i="1"/>
  <c r="R126" i="1"/>
  <c r="P118" i="1"/>
  <c r="Q118" i="1"/>
  <c r="R118" i="1"/>
  <c r="P110" i="1"/>
  <c r="Q110" i="1"/>
  <c r="R110" i="1"/>
  <c r="P102" i="1"/>
  <c r="Q102" i="1"/>
  <c r="R102" i="1"/>
  <c r="P94" i="1"/>
  <c r="Q94" i="1"/>
  <c r="R94" i="1"/>
  <c r="P86" i="1"/>
  <c r="Q86" i="1"/>
  <c r="R86" i="1"/>
  <c r="P78" i="1"/>
  <c r="Q78" i="1"/>
  <c r="R78" i="1"/>
  <c r="P70" i="1"/>
  <c r="Q70" i="1"/>
  <c r="R70" i="1"/>
  <c r="P62" i="1"/>
  <c r="Q62" i="1"/>
  <c r="R62" i="1"/>
  <c r="P54" i="1"/>
  <c r="Q54" i="1"/>
  <c r="R54" i="1"/>
  <c r="P46" i="1"/>
  <c r="Q46" i="1"/>
  <c r="R46" i="1"/>
  <c r="P38" i="1"/>
  <c r="Q38" i="1"/>
  <c r="R38" i="1"/>
  <c r="P30" i="1"/>
  <c r="Q30" i="1"/>
  <c r="R30" i="1"/>
  <c r="P26" i="1"/>
  <c r="R26" i="1"/>
  <c r="Q26" i="1"/>
  <c r="P9" i="1"/>
  <c r="P5" i="1"/>
  <c r="P357" i="1"/>
  <c r="R357" i="1"/>
  <c r="P349" i="1"/>
  <c r="Q349" i="1"/>
  <c r="R349" i="1"/>
  <c r="P341" i="1"/>
  <c r="Q341" i="1"/>
  <c r="R341" i="1"/>
  <c r="P333" i="1"/>
  <c r="Q333" i="1"/>
  <c r="R333" i="1"/>
  <c r="P325" i="1"/>
  <c r="Q325" i="1"/>
  <c r="R325" i="1"/>
  <c r="P317" i="1"/>
  <c r="Q317" i="1"/>
  <c r="R317" i="1"/>
  <c r="P309" i="1"/>
  <c r="Q309" i="1"/>
  <c r="R309" i="1"/>
  <c r="P301" i="1"/>
  <c r="Q301" i="1"/>
  <c r="R301" i="1"/>
  <c r="P293" i="1"/>
  <c r="Q293" i="1"/>
  <c r="R293" i="1"/>
  <c r="P285" i="1"/>
  <c r="Q285" i="1"/>
  <c r="R285" i="1"/>
  <c r="P281" i="1"/>
  <c r="Q281" i="1"/>
  <c r="R281" i="1"/>
  <c r="P273" i="1"/>
  <c r="Q273" i="1"/>
  <c r="R273" i="1"/>
  <c r="P265" i="1"/>
  <c r="Q265" i="1"/>
  <c r="R265" i="1"/>
  <c r="P257" i="1"/>
  <c r="Q257" i="1"/>
  <c r="R257" i="1"/>
  <c r="P249" i="1"/>
  <c r="Q249" i="1"/>
  <c r="R249" i="1"/>
  <c r="P241" i="1"/>
  <c r="Q241" i="1"/>
  <c r="R241" i="1"/>
  <c r="P233" i="1"/>
  <c r="Q233" i="1"/>
  <c r="R233" i="1"/>
  <c r="P225" i="1"/>
  <c r="Q225" i="1"/>
  <c r="R225" i="1"/>
  <c r="P213" i="1"/>
  <c r="R213" i="1"/>
  <c r="Q213" i="1"/>
  <c r="P205" i="1"/>
  <c r="R205" i="1"/>
  <c r="Q205" i="1"/>
  <c r="P197" i="1"/>
  <c r="R197" i="1"/>
  <c r="Q197" i="1"/>
  <c r="P193" i="1"/>
  <c r="Q193" i="1"/>
  <c r="R193" i="1"/>
  <c r="P185" i="1"/>
  <c r="Q185" i="1"/>
  <c r="R185" i="1"/>
  <c r="P177" i="1"/>
  <c r="Q177" i="1"/>
  <c r="R177" i="1"/>
  <c r="P169" i="1"/>
  <c r="Q169" i="1"/>
  <c r="R169" i="1"/>
  <c r="P161" i="1"/>
  <c r="R161" i="1"/>
  <c r="Q161" i="1"/>
  <c r="P153" i="1"/>
  <c r="Q153" i="1"/>
  <c r="R153" i="1"/>
  <c r="P145" i="1"/>
  <c r="Q145" i="1"/>
  <c r="R145" i="1"/>
  <c r="P137" i="1"/>
  <c r="Q137" i="1"/>
  <c r="R137" i="1"/>
  <c r="P129" i="1"/>
  <c r="Q129" i="1"/>
  <c r="R129" i="1"/>
  <c r="P121" i="1"/>
  <c r="R121" i="1"/>
  <c r="Q121" i="1"/>
  <c r="P113" i="1"/>
  <c r="Q113" i="1"/>
  <c r="R113" i="1"/>
  <c r="P105" i="1"/>
  <c r="R105" i="1"/>
  <c r="Q105" i="1"/>
  <c r="P97" i="1"/>
  <c r="Q97" i="1"/>
  <c r="R97" i="1"/>
  <c r="R89" i="1"/>
  <c r="P89" i="1"/>
  <c r="Q89" i="1"/>
  <c r="R81" i="1"/>
  <c r="P81" i="1"/>
  <c r="Q81" i="1"/>
  <c r="R73" i="1"/>
  <c r="P73" i="1"/>
  <c r="Q73" i="1"/>
  <c r="R65" i="1"/>
  <c r="P65" i="1"/>
  <c r="Q65" i="1"/>
  <c r="R57" i="1"/>
  <c r="Q57" i="1"/>
  <c r="P57" i="1"/>
  <c r="R49" i="1"/>
  <c r="P49" i="1"/>
  <c r="Q49" i="1"/>
  <c r="R41" i="1"/>
  <c r="P41" i="1"/>
  <c r="Q41" i="1"/>
  <c r="R33" i="1"/>
  <c r="P33" i="1"/>
  <c r="Q33" i="1"/>
  <c r="R22" i="1"/>
  <c r="R16" i="1"/>
  <c r="R4" i="1"/>
  <c r="P356" i="1"/>
  <c r="R356" i="1"/>
  <c r="Q356" i="1"/>
  <c r="P348" i="1"/>
  <c r="Q348" i="1"/>
  <c r="R348" i="1"/>
  <c r="P340" i="1"/>
  <c r="Q340" i="1"/>
  <c r="R340" i="1"/>
  <c r="R355" i="1"/>
  <c r="Q355" i="1"/>
  <c r="P355" i="1"/>
  <c r="R351" i="1"/>
  <c r="Q351" i="1"/>
  <c r="P351" i="1"/>
  <c r="R347" i="1"/>
  <c r="Q347" i="1"/>
  <c r="P347" i="1"/>
  <c r="R343" i="1"/>
  <c r="P343" i="1"/>
  <c r="Q343" i="1"/>
  <c r="R339" i="1"/>
  <c r="Q339" i="1"/>
  <c r="P339" i="1"/>
  <c r="R335" i="1"/>
  <c r="P335" i="1"/>
  <c r="Q335" i="1"/>
  <c r="R331" i="1"/>
  <c r="Q331" i="1"/>
  <c r="P331" i="1"/>
  <c r="R327" i="1"/>
  <c r="P327" i="1"/>
  <c r="Q327" i="1"/>
  <c r="R323" i="1"/>
  <c r="Q323" i="1"/>
  <c r="P323" i="1"/>
  <c r="R319" i="1"/>
  <c r="P319" i="1"/>
  <c r="Q319" i="1"/>
  <c r="R315" i="1"/>
  <c r="Q315" i="1"/>
  <c r="P315" i="1"/>
  <c r="R311" i="1"/>
  <c r="P311" i="1"/>
  <c r="Q311" i="1"/>
  <c r="R307" i="1"/>
  <c r="Q307" i="1"/>
  <c r="P307" i="1"/>
  <c r="R303" i="1"/>
  <c r="Q303" i="1"/>
  <c r="P303" i="1"/>
  <c r="R299" i="1"/>
  <c r="Q299" i="1"/>
  <c r="P299" i="1"/>
  <c r="R295" i="1"/>
  <c r="P295" i="1"/>
  <c r="Q295" i="1"/>
  <c r="R291" i="1"/>
  <c r="Q291" i="1"/>
  <c r="P291" i="1"/>
  <c r="R287" i="1"/>
  <c r="Q287" i="1"/>
  <c r="P287" i="1"/>
  <c r="R283" i="1"/>
  <c r="Q283" i="1"/>
  <c r="P283" i="1"/>
  <c r="R279" i="1"/>
  <c r="P279" i="1"/>
  <c r="Q279" i="1"/>
  <c r="R275" i="1"/>
  <c r="Q275" i="1"/>
  <c r="P275" i="1"/>
  <c r="R271" i="1"/>
  <c r="P271" i="1"/>
  <c r="Q271" i="1"/>
  <c r="R267" i="1"/>
  <c r="Q267" i="1"/>
  <c r="P267" i="1"/>
  <c r="R263" i="1"/>
  <c r="P263" i="1"/>
  <c r="Q263" i="1"/>
  <c r="R259" i="1"/>
  <c r="Q259" i="1"/>
  <c r="P259" i="1"/>
  <c r="R255" i="1"/>
  <c r="Q255" i="1"/>
  <c r="P255" i="1"/>
  <c r="Q251" i="1"/>
  <c r="R251" i="1"/>
  <c r="P251" i="1"/>
  <c r="Q247" i="1"/>
  <c r="R247" i="1"/>
  <c r="P247" i="1"/>
  <c r="Q243" i="1"/>
  <c r="R243" i="1"/>
  <c r="P243" i="1"/>
  <c r="Q239" i="1"/>
  <c r="R239" i="1"/>
  <c r="P239" i="1"/>
  <c r="Q235" i="1"/>
  <c r="R235" i="1"/>
  <c r="P235" i="1"/>
  <c r="Q231" i="1"/>
  <c r="R231" i="1"/>
  <c r="P231" i="1"/>
  <c r="Q227" i="1"/>
  <c r="R227" i="1"/>
  <c r="P227" i="1"/>
  <c r="Q223" i="1"/>
  <c r="R223" i="1"/>
  <c r="P223" i="1"/>
  <c r="Q219" i="1"/>
  <c r="R219" i="1"/>
  <c r="P219" i="1"/>
  <c r="Q215" i="1"/>
  <c r="R215" i="1"/>
  <c r="P215" i="1"/>
  <c r="Q211" i="1"/>
  <c r="R211" i="1"/>
  <c r="P211" i="1"/>
  <c r="Q207" i="1"/>
  <c r="R207" i="1"/>
  <c r="P207" i="1"/>
  <c r="Q203" i="1"/>
  <c r="R203" i="1"/>
  <c r="P203" i="1"/>
  <c r="Q199" i="1"/>
  <c r="R199" i="1"/>
  <c r="P199" i="1"/>
  <c r="Q195" i="1"/>
  <c r="R195" i="1"/>
  <c r="P195" i="1"/>
  <c r="Q191" i="1"/>
  <c r="R191" i="1"/>
  <c r="P191" i="1"/>
  <c r="Q187" i="1"/>
  <c r="R187" i="1"/>
  <c r="P187" i="1"/>
  <c r="Q183" i="1"/>
  <c r="R183" i="1"/>
  <c r="P183" i="1"/>
  <c r="Q179" i="1"/>
  <c r="R179" i="1"/>
  <c r="P179" i="1"/>
  <c r="Q175" i="1"/>
  <c r="R175" i="1"/>
  <c r="P175" i="1"/>
  <c r="Q171" i="1"/>
  <c r="R171" i="1"/>
  <c r="P171" i="1"/>
  <c r="Q167" i="1"/>
  <c r="R167" i="1"/>
  <c r="P167" i="1"/>
  <c r="Q163" i="1"/>
  <c r="R163" i="1"/>
  <c r="P163" i="1"/>
  <c r="Q159" i="1"/>
  <c r="R159" i="1"/>
  <c r="P159" i="1"/>
  <c r="Q155" i="1"/>
  <c r="R155" i="1"/>
  <c r="P155" i="1"/>
  <c r="Q151" i="1"/>
  <c r="R151" i="1"/>
  <c r="P151" i="1"/>
  <c r="Q147" i="1"/>
  <c r="R147" i="1"/>
  <c r="P147" i="1"/>
  <c r="Q143" i="1"/>
  <c r="R143" i="1"/>
  <c r="P143" i="1"/>
  <c r="Q139" i="1"/>
  <c r="R139" i="1"/>
  <c r="P139" i="1"/>
  <c r="Q135" i="1"/>
  <c r="R135" i="1"/>
  <c r="P135" i="1"/>
  <c r="Q131" i="1"/>
  <c r="R131" i="1"/>
  <c r="P131" i="1"/>
  <c r="Q127" i="1"/>
  <c r="R127" i="1"/>
  <c r="P127" i="1"/>
  <c r="Q123" i="1"/>
  <c r="R123" i="1"/>
  <c r="P123" i="1"/>
  <c r="Q119" i="1"/>
  <c r="R119" i="1"/>
  <c r="P119" i="1"/>
  <c r="Q115" i="1"/>
  <c r="R115" i="1"/>
  <c r="P115" i="1"/>
  <c r="Q111" i="1"/>
  <c r="R111" i="1"/>
  <c r="P111" i="1"/>
  <c r="Q107" i="1"/>
  <c r="R107" i="1"/>
  <c r="P107" i="1"/>
  <c r="Q103" i="1"/>
  <c r="R103" i="1"/>
  <c r="P103" i="1"/>
  <c r="Q99" i="1"/>
  <c r="R99" i="1"/>
  <c r="P99" i="1"/>
  <c r="Q95" i="1"/>
  <c r="R95" i="1"/>
  <c r="P95" i="1"/>
  <c r="P91" i="1"/>
  <c r="R91" i="1"/>
  <c r="P87" i="1"/>
  <c r="Q87" i="1"/>
  <c r="R87" i="1"/>
  <c r="P83" i="1"/>
  <c r="Q83" i="1"/>
  <c r="R83" i="1"/>
  <c r="P79" i="1"/>
  <c r="Q79" i="1"/>
  <c r="R79" i="1"/>
  <c r="P75" i="1"/>
  <c r="Q75" i="1"/>
  <c r="R75" i="1"/>
  <c r="P71" i="1"/>
  <c r="Q71" i="1"/>
  <c r="R71" i="1"/>
  <c r="P67" i="1"/>
  <c r="Q67" i="1"/>
  <c r="R67" i="1"/>
  <c r="P63" i="1"/>
  <c r="Q63" i="1"/>
  <c r="R63" i="1"/>
  <c r="P59" i="1"/>
  <c r="Q59" i="1"/>
  <c r="R59" i="1"/>
  <c r="P55" i="1"/>
  <c r="Q55" i="1"/>
  <c r="R55" i="1"/>
  <c r="P51" i="1"/>
  <c r="Q51" i="1"/>
  <c r="R51" i="1"/>
  <c r="P47" i="1"/>
  <c r="Q47" i="1"/>
  <c r="R47" i="1"/>
  <c r="P43" i="1"/>
  <c r="Q43" i="1"/>
  <c r="R43" i="1"/>
  <c r="P39" i="1"/>
  <c r="Q39" i="1"/>
  <c r="R39" i="1"/>
  <c r="P35" i="1"/>
  <c r="Q35" i="1"/>
  <c r="R35" i="1"/>
  <c r="P31" i="1"/>
  <c r="Q31" i="1"/>
  <c r="R31" i="1"/>
  <c r="P27" i="1"/>
  <c r="Q27" i="1"/>
  <c r="R27" i="1"/>
  <c r="P23" i="1"/>
  <c r="Q23" i="1"/>
  <c r="R23" i="1"/>
  <c r="R21" i="1"/>
  <c r="R19" i="1"/>
  <c r="R17" i="1"/>
  <c r="R15" i="1"/>
  <c r="R13" i="1"/>
  <c r="R11" i="1"/>
  <c r="R9" i="1"/>
  <c r="R7" i="1"/>
  <c r="R5" i="1"/>
  <c r="R3" i="1"/>
  <c r="F3" i="1"/>
  <c r="G3" i="1"/>
  <c r="H3" i="1"/>
  <c r="I3" i="1"/>
  <c r="F4" i="1"/>
  <c r="G4" i="1"/>
  <c r="H4" i="1"/>
  <c r="I4" i="1"/>
  <c r="F5" i="1"/>
  <c r="G5" i="1"/>
  <c r="H5" i="1"/>
  <c r="I5" i="1"/>
  <c r="F6" i="1"/>
  <c r="G6" i="1"/>
  <c r="H6" i="1"/>
  <c r="I6" i="1"/>
  <c r="F7" i="1"/>
  <c r="G7" i="1"/>
  <c r="H7" i="1"/>
  <c r="I7" i="1"/>
  <c r="F8" i="1"/>
  <c r="G8" i="1"/>
  <c r="H8" i="1"/>
  <c r="I8" i="1"/>
  <c r="F9" i="1"/>
  <c r="G9" i="1"/>
  <c r="H9" i="1"/>
  <c r="I9" i="1"/>
  <c r="F10" i="1"/>
  <c r="G10" i="1"/>
  <c r="H10" i="1"/>
  <c r="I10" i="1"/>
  <c r="F11" i="1"/>
  <c r="G11" i="1"/>
  <c r="H11" i="1"/>
  <c r="I11" i="1"/>
  <c r="F12" i="1"/>
  <c r="G12" i="1"/>
  <c r="H12" i="1"/>
  <c r="I12" i="1"/>
  <c r="F13" i="1"/>
  <c r="G13" i="1"/>
  <c r="H13" i="1"/>
  <c r="I13" i="1"/>
  <c r="F14" i="1"/>
  <c r="G14" i="1"/>
  <c r="H14" i="1"/>
  <c r="I14" i="1"/>
  <c r="F15" i="1"/>
  <c r="G15" i="1"/>
  <c r="H15" i="1"/>
  <c r="I15" i="1"/>
  <c r="F16" i="1"/>
  <c r="G16" i="1"/>
  <c r="H16" i="1"/>
  <c r="I16" i="1"/>
  <c r="F17" i="1"/>
  <c r="G17" i="1"/>
  <c r="H17" i="1"/>
  <c r="I17" i="1"/>
  <c r="F18" i="1"/>
  <c r="G18" i="1"/>
  <c r="H18" i="1"/>
  <c r="I18" i="1"/>
  <c r="F19" i="1"/>
  <c r="G19" i="1"/>
  <c r="H19" i="1"/>
  <c r="I19" i="1"/>
  <c r="F20" i="1"/>
  <c r="G20" i="1"/>
  <c r="H20" i="1"/>
  <c r="I20" i="1"/>
  <c r="F21" i="1"/>
  <c r="G21" i="1"/>
  <c r="H21" i="1"/>
  <c r="I21" i="1"/>
  <c r="F22" i="1"/>
  <c r="G22" i="1"/>
  <c r="H22" i="1"/>
  <c r="I22" i="1"/>
  <c r="F23" i="1"/>
  <c r="G23" i="1"/>
  <c r="H23" i="1"/>
  <c r="I23" i="1"/>
  <c r="F24" i="1"/>
  <c r="G24" i="1"/>
  <c r="H24" i="1"/>
  <c r="I24" i="1"/>
  <c r="F25" i="1"/>
  <c r="G25" i="1"/>
  <c r="H25" i="1"/>
  <c r="I25" i="1"/>
  <c r="F26" i="1"/>
  <c r="G26" i="1"/>
  <c r="H26" i="1"/>
  <c r="I26" i="1"/>
  <c r="F27" i="1"/>
  <c r="G27" i="1"/>
  <c r="H27" i="1"/>
  <c r="I27" i="1"/>
  <c r="F28" i="1"/>
  <c r="G28" i="1"/>
  <c r="H28" i="1"/>
  <c r="I28" i="1"/>
  <c r="F29" i="1"/>
  <c r="G29" i="1"/>
  <c r="H29" i="1"/>
  <c r="I29" i="1"/>
  <c r="F30" i="1"/>
  <c r="G30" i="1"/>
  <c r="H30" i="1"/>
  <c r="I30" i="1"/>
  <c r="F31" i="1"/>
  <c r="G31" i="1"/>
  <c r="H31" i="1"/>
  <c r="I31" i="1"/>
  <c r="F32" i="1"/>
  <c r="G32" i="1"/>
  <c r="H32" i="1"/>
  <c r="I32" i="1"/>
  <c r="F33" i="1"/>
  <c r="G33" i="1"/>
  <c r="H33" i="1"/>
  <c r="I33" i="1"/>
  <c r="F34" i="1"/>
  <c r="G34" i="1"/>
  <c r="H34" i="1"/>
  <c r="I34" i="1"/>
  <c r="F35" i="1"/>
  <c r="G35" i="1"/>
  <c r="H35" i="1"/>
  <c r="I35" i="1"/>
  <c r="F36" i="1"/>
  <c r="G36" i="1"/>
  <c r="H36" i="1"/>
  <c r="I36" i="1"/>
  <c r="F37" i="1"/>
  <c r="G37" i="1"/>
  <c r="H37" i="1"/>
  <c r="I37" i="1"/>
  <c r="F38" i="1"/>
  <c r="G38" i="1"/>
  <c r="H38" i="1"/>
  <c r="I38" i="1"/>
  <c r="F39" i="1"/>
  <c r="G39" i="1"/>
  <c r="H39" i="1"/>
  <c r="I39" i="1"/>
  <c r="F40" i="1"/>
  <c r="G40" i="1"/>
  <c r="H40" i="1"/>
  <c r="I40" i="1"/>
  <c r="F41" i="1"/>
  <c r="G41" i="1"/>
  <c r="H41" i="1"/>
  <c r="I41" i="1"/>
  <c r="F42" i="1"/>
  <c r="G42" i="1"/>
  <c r="H42" i="1"/>
  <c r="I42" i="1"/>
  <c r="F43" i="1"/>
  <c r="G43" i="1"/>
  <c r="H43" i="1"/>
  <c r="I43" i="1"/>
  <c r="F44" i="1"/>
  <c r="G44" i="1"/>
  <c r="H44" i="1"/>
  <c r="I44" i="1"/>
  <c r="F45" i="1"/>
  <c r="G45" i="1"/>
  <c r="H45" i="1"/>
  <c r="I45" i="1"/>
  <c r="F46" i="1"/>
  <c r="G46" i="1"/>
  <c r="H46" i="1"/>
  <c r="I46" i="1"/>
  <c r="F47" i="1"/>
  <c r="G47" i="1"/>
  <c r="H47" i="1"/>
  <c r="I47" i="1"/>
  <c r="F48" i="1"/>
  <c r="G48" i="1"/>
  <c r="H48" i="1"/>
  <c r="I48" i="1"/>
  <c r="F49" i="1"/>
  <c r="G49" i="1"/>
  <c r="H49" i="1"/>
  <c r="I49" i="1"/>
  <c r="F50" i="1"/>
  <c r="G50" i="1"/>
  <c r="H50" i="1"/>
  <c r="I50" i="1"/>
  <c r="F51" i="1"/>
  <c r="G51" i="1"/>
  <c r="H51" i="1"/>
  <c r="I51" i="1"/>
  <c r="F52" i="1"/>
  <c r="G52" i="1"/>
  <c r="H52" i="1"/>
  <c r="I52" i="1"/>
  <c r="F53" i="1"/>
  <c r="G53" i="1"/>
  <c r="H53" i="1"/>
  <c r="I53" i="1"/>
  <c r="F54" i="1"/>
  <c r="G54" i="1"/>
  <c r="H54" i="1"/>
  <c r="I54" i="1"/>
  <c r="F55" i="1"/>
  <c r="G55" i="1"/>
  <c r="H55" i="1"/>
  <c r="I55" i="1"/>
  <c r="F56" i="1"/>
  <c r="G56" i="1"/>
  <c r="H56" i="1"/>
  <c r="I56" i="1"/>
  <c r="F57" i="1"/>
  <c r="G57" i="1"/>
  <c r="H57" i="1"/>
  <c r="I57" i="1"/>
  <c r="F58" i="1"/>
  <c r="G58" i="1"/>
  <c r="H58" i="1"/>
  <c r="I58" i="1"/>
  <c r="F59" i="1"/>
  <c r="G59" i="1"/>
  <c r="H59" i="1"/>
  <c r="I59" i="1"/>
  <c r="F60" i="1"/>
  <c r="G60" i="1"/>
  <c r="H60" i="1"/>
  <c r="I60" i="1"/>
  <c r="F61" i="1"/>
  <c r="G61" i="1"/>
  <c r="H61" i="1"/>
  <c r="I61" i="1"/>
  <c r="F62" i="1"/>
  <c r="G62" i="1"/>
  <c r="H62" i="1"/>
  <c r="I62" i="1"/>
  <c r="F63" i="1"/>
  <c r="G63" i="1"/>
  <c r="H63" i="1"/>
  <c r="I63" i="1"/>
  <c r="F64" i="1"/>
  <c r="G64" i="1"/>
  <c r="H64" i="1"/>
  <c r="I64" i="1"/>
  <c r="F65" i="1"/>
  <c r="G65" i="1"/>
  <c r="H65" i="1"/>
  <c r="I65" i="1"/>
  <c r="F66" i="1"/>
  <c r="G66" i="1"/>
  <c r="H66" i="1"/>
  <c r="I66" i="1"/>
  <c r="F67" i="1"/>
  <c r="G67" i="1"/>
  <c r="H67" i="1"/>
  <c r="I67" i="1"/>
  <c r="F68" i="1"/>
  <c r="G68" i="1"/>
  <c r="H68" i="1"/>
  <c r="I68" i="1"/>
  <c r="F69" i="1"/>
  <c r="G69" i="1"/>
  <c r="H69" i="1"/>
  <c r="I69" i="1"/>
  <c r="F70" i="1"/>
  <c r="G70" i="1"/>
  <c r="H70" i="1"/>
  <c r="I70" i="1"/>
  <c r="F71" i="1"/>
  <c r="G71" i="1"/>
  <c r="H71" i="1"/>
  <c r="I71" i="1"/>
  <c r="F72" i="1"/>
  <c r="G72" i="1"/>
  <c r="H72" i="1"/>
  <c r="I72" i="1"/>
  <c r="F73" i="1"/>
  <c r="G73" i="1"/>
  <c r="H73" i="1"/>
  <c r="I73" i="1"/>
  <c r="F74" i="1"/>
  <c r="G74" i="1"/>
  <c r="H74" i="1"/>
  <c r="I74" i="1"/>
  <c r="F75" i="1"/>
  <c r="G75" i="1"/>
  <c r="H75" i="1"/>
  <c r="I75" i="1"/>
  <c r="F76" i="1"/>
  <c r="G76" i="1"/>
  <c r="H76" i="1"/>
  <c r="I76" i="1"/>
  <c r="F77" i="1"/>
  <c r="G77" i="1"/>
  <c r="H77" i="1"/>
  <c r="I77" i="1"/>
  <c r="F78" i="1"/>
  <c r="G78" i="1"/>
  <c r="H78" i="1"/>
  <c r="I78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F88" i="1"/>
  <c r="G88" i="1"/>
  <c r="H88" i="1"/>
  <c r="I88" i="1"/>
  <c r="F89" i="1"/>
  <c r="G89" i="1"/>
  <c r="H89" i="1"/>
  <c r="I89" i="1"/>
  <c r="F90" i="1"/>
  <c r="G90" i="1"/>
  <c r="H90" i="1"/>
  <c r="I90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F95" i="1"/>
  <c r="G95" i="1"/>
  <c r="H95" i="1"/>
  <c r="I95" i="1"/>
  <c r="F96" i="1"/>
  <c r="G96" i="1"/>
  <c r="H96" i="1"/>
  <c r="I96" i="1"/>
  <c r="F97" i="1"/>
  <c r="G97" i="1"/>
  <c r="H97" i="1"/>
  <c r="I97" i="1"/>
  <c r="F98" i="1"/>
  <c r="G98" i="1"/>
  <c r="H98" i="1"/>
  <c r="I98" i="1"/>
  <c r="F99" i="1"/>
  <c r="G99" i="1"/>
  <c r="H99" i="1"/>
  <c r="I99" i="1"/>
  <c r="F100" i="1"/>
  <c r="G100" i="1"/>
  <c r="H100" i="1"/>
  <c r="I100" i="1"/>
  <c r="F101" i="1"/>
  <c r="G101" i="1"/>
  <c r="H101" i="1"/>
  <c r="I101" i="1"/>
  <c r="F102" i="1"/>
  <c r="G102" i="1"/>
  <c r="H102" i="1"/>
  <c r="I102" i="1"/>
  <c r="F103" i="1"/>
  <c r="G103" i="1"/>
  <c r="H103" i="1"/>
  <c r="I103" i="1"/>
  <c r="F104" i="1"/>
  <c r="G104" i="1"/>
  <c r="H104" i="1"/>
  <c r="I104" i="1"/>
  <c r="F105" i="1"/>
  <c r="G105" i="1"/>
  <c r="H105" i="1"/>
  <c r="I105" i="1"/>
  <c r="F106" i="1"/>
  <c r="G106" i="1"/>
  <c r="H106" i="1"/>
  <c r="I106" i="1"/>
  <c r="F107" i="1"/>
  <c r="G107" i="1"/>
  <c r="H107" i="1"/>
  <c r="I107" i="1"/>
  <c r="F108" i="1"/>
  <c r="G108" i="1"/>
  <c r="H108" i="1"/>
  <c r="I108" i="1"/>
  <c r="F109" i="1"/>
  <c r="G109" i="1"/>
  <c r="H109" i="1"/>
  <c r="I109" i="1"/>
  <c r="F110" i="1"/>
  <c r="G110" i="1"/>
  <c r="H110" i="1"/>
  <c r="I110" i="1"/>
  <c r="F111" i="1"/>
  <c r="G111" i="1"/>
  <c r="H111" i="1"/>
  <c r="I111" i="1"/>
  <c r="F112" i="1"/>
  <c r="G112" i="1"/>
  <c r="H112" i="1"/>
  <c r="I112" i="1"/>
  <c r="F113" i="1"/>
  <c r="G113" i="1"/>
  <c r="H113" i="1"/>
  <c r="I113" i="1"/>
  <c r="F114" i="1"/>
  <c r="G114" i="1"/>
  <c r="H114" i="1"/>
  <c r="I114" i="1"/>
  <c r="F115" i="1"/>
  <c r="G115" i="1"/>
  <c r="H115" i="1"/>
  <c r="I115" i="1"/>
  <c r="F116" i="1"/>
  <c r="G116" i="1"/>
  <c r="H116" i="1"/>
  <c r="I116" i="1"/>
  <c r="F117" i="1"/>
  <c r="G117" i="1"/>
  <c r="H117" i="1"/>
  <c r="I117" i="1"/>
  <c r="F118" i="1"/>
  <c r="G118" i="1"/>
  <c r="H118" i="1"/>
  <c r="I118" i="1"/>
  <c r="F119" i="1"/>
  <c r="G119" i="1"/>
  <c r="H119" i="1"/>
  <c r="I119" i="1"/>
  <c r="F120" i="1"/>
  <c r="G120" i="1"/>
  <c r="H120" i="1"/>
  <c r="I120" i="1"/>
  <c r="F121" i="1"/>
  <c r="G121" i="1"/>
  <c r="H121" i="1"/>
  <c r="I121" i="1"/>
  <c r="F122" i="1"/>
  <c r="G122" i="1"/>
  <c r="H122" i="1"/>
  <c r="I122" i="1"/>
  <c r="F123" i="1"/>
  <c r="G123" i="1"/>
  <c r="H123" i="1"/>
  <c r="I123" i="1"/>
  <c r="F124" i="1"/>
  <c r="G124" i="1"/>
  <c r="H124" i="1"/>
  <c r="I124" i="1"/>
  <c r="F125" i="1"/>
  <c r="G125" i="1"/>
  <c r="H125" i="1"/>
  <c r="I125" i="1"/>
  <c r="F126" i="1"/>
  <c r="G126" i="1"/>
  <c r="H126" i="1"/>
  <c r="I126" i="1"/>
  <c r="F127" i="1"/>
  <c r="G127" i="1"/>
  <c r="H127" i="1"/>
  <c r="I127" i="1"/>
  <c r="F128" i="1"/>
  <c r="G128" i="1"/>
  <c r="H128" i="1"/>
  <c r="I128" i="1"/>
  <c r="F129" i="1"/>
  <c r="G129" i="1"/>
  <c r="H129" i="1"/>
  <c r="I129" i="1"/>
  <c r="F130" i="1"/>
  <c r="G130" i="1"/>
  <c r="H130" i="1"/>
  <c r="I130" i="1"/>
  <c r="F131" i="1"/>
  <c r="G131" i="1"/>
  <c r="H131" i="1"/>
  <c r="I131" i="1"/>
  <c r="F132" i="1"/>
  <c r="G132" i="1"/>
  <c r="H132" i="1"/>
  <c r="I132" i="1"/>
  <c r="F133" i="1"/>
  <c r="G133" i="1"/>
  <c r="H133" i="1"/>
  <c r="I133" i="1"/>
  <c r="F134" i="1"/>
  <c r="G134" i="1"/>
  <c r="H134" i="1"/>
  <c r="I134" i="1"/>
  <c r="F135" i="1"/>
  <c r="G135" i="1"/>
  <c r="H135" i="1"/>
  <c r="I135" i="1"/>
  <c r="F136" i="1"/>
  <c r="G136" i="1"/>
  <c r="H136" i="1"/>
  <c r="I136" i="1"/>
  <c r="F137" i="1"/>
  <c r="G137" i="1"/>
  <c r="H137" i="1"/>
  <c r="I137" i="1"/>
  <c r="F138" i="1"/>
  <c r="G138" i="1"/>
  <c r="H138" i="1"/>
  <c r="I138" i="1"/>
  <c r="F139" i="1"/>
  <c r="G139" i="1"/>
  <c r="H139" i="1"/>
  <c r="I139" i="1"/>
  <c r="F140" i="1"/>
  <c r="G140" i="1"/>
  <c r="H140" i="1"/>
  <c r="I140" i="1"/>
  <c r="F141" i="1"/>
  <c r="G141" i="1"/>
  <c r="H141" i="1"/>
  <c r="I141" i="1"/>
  <c r="F142" i="1"/>
  <c r="G142" i="1"/>
  <c r="H142" i="1"/>
  <c r="I142" i="1"/>
  <c r="F143" i="1"/>
  <c r="G143" i="1"/>
  <c r="H143" i="1"/>
  <c r="I143" i="1"/>
  <c r="F144" i="1"/>
  <c r="G144" i="1"/>
  <c r="H144" i="1"/>
  <c r="I144" i="1"/>
  <c r="F145" i="1"/>
  <c r="G145" i="1"/>
  <c r="H145" i="1"/>
  <c r="I145" i="1"/>
  <c r="F146" i="1"/>
  <c r="G146" i="1"/>
  <c r="H146" i="1"/>
  <c r="I146" i="1"/>
  <c r="F147" i="1"/>
  <c r="G147" i="1"/>
  <c r="H147" i="1"/>
  <c r="I147" i="1"/>
  <c r="F148" i="1"/>
  <c r="G148" i="1"/>
  <c r="H148" i="1"/>
  <c r="I148" i="1"/>
  <c r="F149" i="1"/>
  <c r="G149" i="1"/>
  <c r="H149" i="1"/>
  <c r="I149" i="1"/>
  <c r="F150" i="1"/>
  <c r="G150" i="1"/>
  <c r="H150" i="1"/>
  <c r="I150" i="1"/>
  <c r="F151" i="1"/>
  <c r="G151" i="1"/>
  <c r="H151" i="1"/>
  <c r="I151" i="1"/>
  <c r="F152" i="1"/>
  <c r="G152" i="1"/>
  <c r="H152" i="1"/>
  <c r="I152" i="1"/>
  <c r="F153" i="1"/>
  <c r="G153" i="1"/>
  <c r="H153" i="1"/>
  <c r="I153" i="1"/>
  <c r="F154" i="1"/>
  <c r="G154" i="1"/>
  <c r="H154" i="1"/>
  <c r="I154" i="1"/>
  <c r="F155" i="1"/>
  <c r="G155" i="1"/>
  <c r="H155" i="1"/>
  <c r="I155" i="1"/>
  <c r="F156" i="1"/>
  <c r="G156" i="1"/>
  <c r="H156" i="1"/>
  <c r="I156" i="1"/>
  <c r="F157" i="1"/>
  <c r="G157" i="1"/>
  <c r="H157" i="1"/>
  <c r="I157" i="1"/>
  <c r="F158" i="1"/>
  <c r="G158" i="1"/>
  <c r="H158" i="1"/>
  <c r="I158" i="1"/>
  <c r="F159" i="1"/>
  <c r="G159" i="1"/>
  <c r="H159" i="1"/>
  <c r="I159" i="1"/>
  <c r="F160" i="1"/>
  <c r="G160" i="1"/>
  <c r="H160" i="1"/>
  <c r="I160" i="1"/>
  <c r="F161" i="1"/>
  <c r="G161" i="1"/>
  <c r="H161" i="1"/>
  <c r="I161" i="1"/>
  <c r="F162" i="1"/>
  <c r="G162" i="1"/>
  <c r="H162" i="1"/>
  <c r="I162" i="1"/>
  <c r="F163" i="1"/>
  <c r="G163" i="1"/>
  <c r="H163" i="1"/>
  <c r="I163" i="1"/>
  <c r="F164" i="1"/>
  <c r="G164" i="1"/>
  <c r="H164" i="1"/>
  <c r="I164" i="1"/>
  <c r="F165" i="1"/>
  <c r="G165" i="1"/>
  <c r="H165" i="1"/>
  <c r="I165" i="1"/>
  <c r="F166" i="1"/>
  <c r="G166" i="1"/>
  <c r="H166" i="1"/>
  <c r="I166" i="1"/>
  <c r="F167" i="1"/>
  <c r="G167" i="1"/>
  <c r="H167" i="1"/>
  <c r="I167" i="1"/>
  <c r="F168" i="1"/>
  <c r="G168" i="1"/>
  <c r="H168" i="1"/>
  <c r="I168" i="1"/>
  <c r="F169" i="1"/>
  <c r="G169" i="1"/>
  <c r="H169" i="1"/>
  <c r="I169" i="1"/>
  <c r="F170" i="1"/>
  <c r="G170" i="1"/>
  <c r="H170" i="1"/>
  <c r="I170" i="1"/>
  <c r="F171" i="1"/>
  <c r="G171" i="1"/>
  <c r="H171" i="1"/>
  <c r="I171" i="1"/>
  <c r="F172" i="1"/>
  <c r="G172" i="1"/>
  <c r="H172" i="1"/>
  <c r="I172" i="1"/>
  <c r="F173" i="1"/>
  <c r="G173" i="1"/>
  <c r="H173" i="1"/>
  <c r="I173" i="1"/>
  <c r="F174" i="1"/>
  <c r="G174" i="1"/>
  <c r="H174" i="1"/>
  <c r="I174" i="1"/>
  <c r="F175" i="1"/>
  <c r="G175" i="1"/>
  <c r="H175" i="1"/>
  <c r="I175" i="1"/>
  <c r="F176" i="1"/>
  <c r="G176" i="1"/>
  <c r="H176" i="1"/>
  <c r="I176" i="1"/>
  <c r="F177" i="1"/>
  <c r="G177" i="1"/>
  <c r="H177" i="1"/>
  <c r="I177" i="1"/>
  <c r="F178" i="1"/>
  <c r="G178" i="1"/>
  <c r="H178" i="1"/>
  <c r="I178" i="1"/>
  <c r="F179" i="1"/>
  <c r="G179" i="1"/>
  <c r="H179" i="1"/>
  <c r="I179" i="1"/>
  <c r="F180" i="1"/>
  <c r="G180" i="1"/>
  <c r="H180" i="1"/>
  <c r="I180" i="1"/>
  <c r="F181" i="1"/>
  <c r="G181" i="1"/>
  <c r="H181" i="1"/>
  <c r="I181" i="1"/>
  <c r="F182" i="1"/>
  <c r="G182" i="1"/>
  <c r="H182" i="1"/>
  <c r="I182" i="1"/>
  <c r="F183" i="1"/>
  <c r="G183" i="1"/>
  <c r="H183" i="1"/>
  <c r="I183" i="1"/>
  <c r="F184" i="1"/>
  <c r="G184" i="1"/>
  <c r="H184" i="1"/>
  <c r="I184" i="1"/>
  <c r="F185" i="1"/>
  <c r="G185" i="1"/>
  <c r="H185" i="1"/>
  <c r="I185" i="1"/>
  <c r="F186" i="1"/>
  <c r="G186" i="1"/>
  <c r="H186" i="1"/>
  <c r="I186" i="1"/>
  <c r="F187" i="1"/>
  <c r="G187" i="1"/>
  <c r="H187" i="1"/>
  <c r="I187" i="1"/>
  <c r="F188" i="1"/>
  <c r="G188" i="1"/>
  <c r="H188" i="1"/>
  <c r="I188" i="1"/>
  <c r="F189" i="1"/>
  <c r="G189" i="1"/>
  <c r="H189" i="1"/>
  <c r="I189" i="1"/>
  <c r="F190" i="1"/>
  <c r="G190" i="1"/>
  <c r="H190" i="1"/>
  <c r="I190" i="1"/>
  <c r="F191" i="1"/>
  <c r="G191" i="1"/>
  <c r="H191" i="1"/>
  <c r="I191" i="1"/>
  <c r="F192" i="1"/>
  <c r="G192" i="1"/>
  <c r="H192" i="1"/>
  <c r="I192" i="1"/>
  <c r="F193" i="1"/>
  <c r="G193" i="1"/>
  <c r="H193" i="1"/>
  <c r="I193" i="1"/>
  <c r="F194" i="1"/>
  <c r="G194" i="1"/>
  <c r="H194" i="1"/>
  <c r="I194" i="1"/>
  <c r="F195" i="1"/>
  <c r="G195" i="1"/>
  <c r="H195" i="1"/>
  <c r="I195" i="1"/>
  <c r="F196" i="1"/>
  <c r="G196" i="1"/>
  <c r="H196" i="1"/>
  <c r="I196" i="1"/>
  <c r="F197" i="1"/>
  <c r="G197" i="1"/>
  <c r="H197" i="1"/>
  <c r="I197" i="1"/>
  <c r="F198" i="1"/>
  <c r="G198" i="1"/>
  <c r="H198" i="1"/>
  <c r="I198" i="1"/>
  <c r="F199" i="1"/>
  <c r="G199" i="1"/>
  <c r="H199" i="1"/>
  <c r="I199" i="1"/>
  <c r="F200" i="1"/>
  <c r="G200" i="1"/>
  <c r="H200" i="1"/>
  <c r="I200" i="1"/>
  <c r="F201" i="1"/>
  <c r="G201" i="1"/>
  <c r="H201" i="1"/>
  <c r="I201" i="1"/>
  <c r="F202" i="1"/>
  <c r="G202" i="1"/>
  <c r="H202" i="1"/>
  <c r="I202" i="1"/>
  <c r="F203" i="1"/>
  <c r="G203" i="1"/>
  <c r="H203" i="1"/>
  <c r="I203" i="1"/>
  <c r="F204" i="1"/>
  <c r="G204" i="1"/>
  <c r="H204" i="1"/>
  <c r="I204" i="1"/>
  <c r="F205" i="1"/>
  <c r="G205" i="1"/>
  <c r="H205" i="1"/>
  <c r="I205" i="1"/>
  <c r="F206" i="1"/>
  <c r="G206" i="1"/>
  <c r="H206" i="1"/>
  <c r="I206" i="1"/>
  <c r="F207" i="1"/>
  <c r="G207" i="1"/>
  <c r="H207" i="1"/>
  <c r="I207" i="1"/>
  <c r="F208" i="1"/>
  <c r="G208" i="1"/>
  <c r="H208" i="1"/>
  <c r="I208" i="1"/>
  <c r="F209" i="1"/>
  <c r="G209" i="1"/>
  <c r="H209" i="1"/>
  <c r="I209" i="1"/>
  <c r="F210" i="1"/>
  <c r="G210" i="1"/>
  <c r="H210" i="1"/>
  <c r="I210" i="1"/>
  <c r="F211" i="1"/>
  <c r="G211" i="1"/>
  <c r="H211" i="1"/>
  <c r="I211" i="1"/>
  <c r="F212" i="1"/>
  <c r="G212" i="1"/>
  <c r="H212" i="1"/>
  <c r="I212" i="1"/>
  <c r="F213" i="1"/>
  <c r="G213" i="1"/>
  <c r="H213" i="1"/>
  <c r="I213" i="1"/>
  <c r="F214" i="1"/>
  <c r="G214" i="1"/>
  <c r="H214" i="1"/>
  <c r="I214" i="1"/>
  <c r="F215" i="1"/>
  <c r="G215" i="1"/>
  <c r="H215" i="1"/>
  <c r="I215" i="1"/>
  <c r="F216" i="1"/>
  <c r="G216" i="1"/>
  <c r="H216" i="1"/>
  <c r="I216" i="1"/>
  <c r="F217" i="1"/>
  <c r="G217" i="1"/>
  <c r="H217" i="1"/>
  <c r="I217" i="1"/>
  <c r="F218" i="1"/>
  <c r="G218" i="1"/>
  <c r="H218" i="1"/>
  <c r="I218" i="1"/>
  <c r="F219" i="1"/>
  <c r="G219" i="1"/>
  <c r="H219" i="1"/>
  <c r="I219" i="1"/>
  <c r="F220" i="1"/>
  <c r="G220" i="1"/>
  <c r="H220" i="1"/>
  <c r="I220" i="1"/>
  <c r="F221" i="1"/>
  <c r="G221" i="1"/>
  <c r="H221" i="1"/>
  <c r="I221" i="1"/>
  <c r="F222" i="1"/>
  <c r="G222" i="1"/>
  <c r="H222" i="1"/>
  <c r="I222" i="1"/>
  <c r="F223" i="1"/>
  <c r="G223" i="1"/>
  <c r="H223" i="1"/>
  <c r="I223" i="1"/>
  <c r="F224" i="1"/>
  <c r="G224" i="1"/>
  <c r="H224" i="1"/>
  <c r="I224" i="1"/>
  <c r="F225" i="1"/>
  <c r="G225" i="1"/>
  <c r="H225" i="1"/>
  <c r="I225" i="1"/>
  <c r="F226" i="1"/>
  <c r="G226" i="1"/>
  <c r="H226" i="1"/>
  <c r="I226" i="1"/>
  <c r="F227" i="1"/>
  <c r="G227" i="1"/>
  <c r="H227" i="1"/>
  <c r="I227" i="1"/>
  <c r="F228" i="1"/>
  <c r="G228" i="1"/>
  <c r="H228" i="1"/>
  <c r="I228" i="1"/>
  <c r="F229" i="1"/>
  <c r="G229" i="1"/>
  <c r="H229" i="1"/>
  <c r="I229" i="1"/>
  <c r="F230" i="1"/>
  <c r="G230" i="1"/>
  <c r="H230" i="1"/>
  <c r="I230" i="1"/>
  <c r="F231" i="1"/>
  <c r="G231" i="1"/>
  <c r="H231" i="1"/>
  <c r="I231" i="1"/>
  <c r="F232" i="1"/>
  <c r="G232" i="1"/>
  <c r="H232" i="1"/>
  <c r="I232" i="1"/>
  <c r="F233" i="1"/>
  <c r="G233" i="1"/>
  <c r="H233" i="1"/>
  <c r="I233" i="1"/>
  <c r="F234" i="1"/>
  <c r="G234" i="1"/>
  <c r="H234" i="1"/>
  <c r="I234" i="1"/>
  <c r="F235" i="1"/>
  <c r="G235" i="1"/>
  <c r="H235" i="1"/>
  <c r="I235" i="1"/>
  <c r="F236" i="1"/>
  <c r="G236" i="1"/>
  <c r="H236" i="1"/>
  <c r="I236" i="1"/>
  <c r="F237" i="1"/>
  <c r="G237" i="1"/>
  <c r="H237" i="1"/>
  <c r="I237" i="1"/>
  <c r="F238" i="1"/>
  <c r="G238" i="1"/>
  <c r="H238" i="1"/>
  <c r="I238" i="1"/>
  <c r="F239" i="1"/>
  <c r="G239" i="1"/>
  <c r="H239" i="1"/>
  <c r="I239" i="1"/>
  <c r="F240" i="1"/>
  <c r="G240" i="1"/>
  <c r="H240" i="1"/>
  <c r="I240" i="1"/>
  <c r="F241" i="1"/>
  <c r="G241" i="1"/>
  <c r="H241" i="1"/>
  <c r="I241" i="1"/>
  <c r="F242" i="1"/>
  <c r="G242" i="1"/>
  <c r="H242" i="1"/>
  <c r="I242" i="1"/>
  <c r="F243" i="1"/>
  <c r="G243" i="1"/>
  <c r="H243" i="1"/>
  <c r="I243" i="1"/>
  <c r="F244" i="1"/>
  <c r="G244" i="1"/>
  <c r="H244" i="1"/>
  <c r="I244" i="1"/>
  <c r="F245" i="1"/>
  <c r="G245" i="1"/>
  <c r="H245" i="1"/>
  <c r="I245" i="1"/>
  <c r="F246" i="1"/>
  <c r="G246" i="1"/>
  <c r="H246" i="1"/>
  <c r="I246" i="1"/>
  <c r="F247" i="1"/>
  <c r="G247" i="1"/>
  <c r="H247" i="1"/>
  <c r="I247" i="1"/>
  <c r="F248" i="1"/>
  <c r="G248" i="1"/>
  <c r="H248" i="1"/>
  <c r="I248" i="1"/>
  <c r="F249" i="1"/>
  <c r="G249" i="1"/>
  <c r="H249" i="1"/>
  <c r="I249" i="1"/>
  <c r="F250" i="1"/>
  <c r="G250" i="1"/>
  <c r="H250" i="1"/>
  <c r="I250" i="1"/>
  <c r="F251" i="1"/>
  <c r="G251" i="1"/>
  <c r="H251" i="1"/>
  <c r="I251" i="1"/>
  <c r="F252" i="1"/>
  <c r="G252" i="1"/>
  <c r="H252" i="1"/>
  <c r="I252" i="1"/>
  <c r="F253" i="1"/>
  <c r="G253" i="1"/>
  <c r="H253" i="1"/>
  <c r="I253" i="1"/>
  <c r="F254" i="1"/>
  <c r="G254" i="1"/>
  <c r="H254" i="1"/>
  <c r="I254" i="1"/>
  <c r="F255" i="1"/>
  <c r="G255" i="1"/>
  <c r="H255" i="1"/>
  <c r="I255" i="1"/>
  <c r="F256" i="1"/>
  <c r="G256" i="1"/>
  <c r="H256" i="1"/>
  <c r="I256" i="1"/>
  <c r="F257" i="1"/>
  <c r="G257" i="1"/>
  <c r="H257" i="1"/>
  <c r="I257" i="1"/>
  <c r="F258" i="1"/>
  <c r="G258" i="1"/>
  <c r="H258" i="1"/>
  <c r="I258" i="1"/>
  <c r="F259" i="1"/>
  <c r="G259" i="1"/>
  <c r="H259" i="1"/>
  <c r="I259" i="1"/>
  <c r="F260" i="1"/>
  <c r="G260" i="1"/>
  <c r="H260" i="1"/>
  <c r="I260" i="1"/>
  <c r="F261" i="1"/>
  <c r="G261" i="1"/>
  <c r="H261" i="1"/>
  <c r="I261" i="1"/>
  <c r="F262" i="1"/>
  <c r="G262" i="1"/>
  <c r="H262" i="1"/>
  <c r="I262" i="1"/>
  <c r="F263" i="1"/>
  <c r="G263" i="1"/>
  <c r="H263" i="1"/>
  <c r="I263" i="1"/>
  <c r="F264" i="1"/>
  <c r="G264" i="1"/>
  <c r="H264" i="1"/>
  <c r="I264" i="1"/>
  <c r="F265" i="1"/>
  <c r="G265" i="1"/>
  <c r="H265" i="1"/>
  <c r="I265" i="1"/>
  <c r="F266" i="1"/>
  <c r="G266" i="1"/>
  <c r="H266" i="1"/>
  <c r="I266" i="1"/>
  <c r="F267" i="1"/>
  <c r="G267" i="1"/>
  <c r="H267" i="1"/>
  <c r="I267" i="1"/>
  <c r="F268" i="1"/>
  <c r="G268" i="1"/>
  <c r="H268" i="1"/>
  <c r="I268" i="1"/>
  <c r="F269" i="1"/>
  <c r="G269" i="1"/>
  <c r="H269" i="1"/>
  <c r="I269" i="1"/>
  <c r="F270" i="1"/>
  <c r="G270" i="1"/>
  <c r="H270" i="1"/>
  <c r="I270" i="1"/>
  <c r="F271" i="1"/>
  <c r="G271" i="1"/>
  <c r="H271" i="1"/>
  <c r="I271" i="1"/>
  <c r="F272" i="1"/>
  <c r="G272" i="1"/>
  <c r="H272" i="1"/>
  <c r="I272" i="1"/>
  <c r="F273" i="1"/>
  <c r="G273" i="1"/>
  <c r="H273" i="1"/>
  <c r="I273" i="1"/>
  <c r="F274" i="1"/>
  <c r="G274" i="1"/>
  <c r="H274" i="1"/>
  <c r="I274" i="1"/>
  <c r="F275" i="1"/>
  <c r="G275" i="1"/>
  <c r="H275" i="1"/>
  <c r="I275" i="1"/>
  <c r="F276" i="1"/>
  <c r="G276" i="1"/>
  <c r="H276" i="1"/>
  <c r="I276" i="1"/>
  <c r="F277" i="1"/>
  <c r="G277" i="1"/>
  <c r="H277" i="1"/>
  <c r="I277" i="1"/>
  <c r="F278" i="1"/>
  <c r="G278" i="1"/>
  <c r="H278" i="1"/>
  <c r="I278" i="1"/>
  <c r="F279" i="1"/>
  <c r="G279" i="1"/>
  <c r="H279" i="1"/>
  <c r="I279" i="1"/>
  <c r="F280" i="1"/>
  <c r="G280" i="1"/>
  <c r="H280" i="1"/>
  <c r="I280" i="1"/>
  <c r="F281" i="1"/>
  <c r="G281" i="1"/>
  <c r="H281" i="1"/>
  <c r="I281" i="1"/>
  <c r="F282" i="1"/>
  <c r="G282" i="1"/>
  <c r="H282" i="1"/>
  <c r="I282" i="1"/>
  <c r="F283" i="1"/>
  <c r="G283" i="1"/>
  <c r="H283" i="1"/>
  <c r="I283" i="1"/>
  <c r="F284" i="1"/>
  <c r="G284" i="1"/>
  <c r="H284" i="1"/>
  <c r="I284" i="1"/>
  <c r="F285" i="1"/>
  <c r="G285" i="1"/>
  <c r="H285" i="1"/>
  <c r="I285" i="1"/>
  <c r="F286" i="1"/>
  <c r="G286" i="1"/>
  <c r="H286" i="1"/>
  <c r="I286" i="1"/>
  <c r="F287" i="1"/>
  <c r="G287" i="1"/>
  <c r="H287" i="1"/>
  <c r="I287" i="1"/>
  <c r="F288" i="1"/>
  <c r="G288" i="1"/>
  <c r="H288" i="1"/>
  <c r="I288" i="1"/>
  <c r="F289" i="1"/>
  <c r="G289" i="1"/>
  <c r="H289" i="1"/>
  <c r="I289" i="1"/>
  <c r="F290" i="1"/>
  <c r="G290" i="1"/>
  <c r="H290" i="1"/>
  <c r="I290" i="1"/>
  <c r="F291" i="1"/>
  <c r="G291" i="1"/>
  <c r="H291" i="1"/>
  <c r="I291" i="1"/>
  <c r="F292" i="1"/>
  <c r="G292" i="1"/>
  <c r="H292" i="1"/>
  <c r="I292" i="1"/>
  <c r="F293" i="1"/>
  <c r="G293" i="1"/>
  <c r="H293" i="1"/>
  <c r="I293" i="1"/>
  <c r="F294" i="1"/>
  <c r="G294" i="1"/>
  <c r="H294" i="1"/>
  <c r="I294" i="1"/>
  <c r="F295" i="1"/>
  <c r="G295" i="1"/>
  <c r="H295" i="1"/>
  <c r="I295" i="1"/>
  <c r="F296" i="1"/>
  <c r="G296" i="1"/>
  <c r="H296" i="1"/>
  <c r="I296" i="1"/>
  <c r="F297" i="1"/>
  <c r="G297" i="1"/>
  <c r="H297" i="1"/>
  <c r="I297" i="1"/>
  <c r="F298" i="1"/>
  <c r="G298" i="1"/>
  <c r="H298" i="1"/>
  <c r="I298" i="1"/>
  <c r="F299" i="1"/>
  <c r="G299" i="1"/>
  <c r="H299" i="1"/>
  <c r="I299" i="1"/>
  <c r="F300" i="1"/>
  <c r="G300" i="1"/>
  <c r="H300" i="1"/>
  <c r="I300" i="1"/>
  <c r="F301" i="1"/>
  <c r="G301" i="1"/>
  <c r="H301" i="1"/>
  <c r="I301" i="1"/>
  <c r="F302" i="1"/>
  <c r="G302" i="1"/>
  <c r="H302" i="1"/>
  <c r="I302" i="1"/>
  <c r="F303" i="1"/>
  <c r="G303" i="1"/>
  <c r="H303" i="1"/>
  <c r="I303" i="1"/>
  <c r="F304" i="1"/>
  <c r="G304" i="1"/>
  <c r="H304" i="1"/>
  <c r="I304" i="1"/>
  <c r="F305" i="1"/>
  <c r="G305" i="1"/>
  <c r="H305" i="1"/>
  <c r="I305" i="1"/>
  <c r="F306" i="1"/>
  <c r="G306" i="1"/>
  <c r="H306" i="1"/>
  <c r="I306" i="1"/>
  <c r="F307" i="1"/>
  <c r="G307" i="1"/>
  <c r="H307" i="1"/>
  <c r="I307" i="1"/>
  <c r="F308" i="1"/>
  <c r="G308" i="1"/>
  <c r="H308" i="1"/>
  <c r="I308" i="1"/>
  <c r="F309" i="1"/>
  <c r="G309" i="1"/>
  <c r="H309" i="1"/>
  <c r="I309" i="1"/>
  <c r="F310" i="1"/>
  <c r="G310" i="1"/>
  <c r="H310" i="1"/>
  <c r="I310" i="1"/>
  <c r="F311" i="1"/>
  <c r="G311" i="1"/>
  <c r="H311" i="1"/>
  <c r="I311" i="1"/>
  <c r="F312" i="1"/>
  <c r="G312" i="1"/>
  <c r="H312" i="1"/>
  <c r="I312" i="1"/>
  <c r="F313" i="1"/>
  <c r="G313" i="1"/>
  <c r="H313" i="1"/>
  <c r="I313" i="1"/>
  <c r="F314" i="1"/>
  <c r="G314" i="1"/>
  <c r="H314" i="1"/>
  <c r="I314" i="1"/>
  <c r="F315" i="1"/>
  <c r="G315" i="1"/>
  <c r="H315" i="1"/>
  <c r="I315" i="1"/>
  <c r="F316" i="1"/>
  <c r="G316" i="1"/>
  <c r="H316" i="1"/>
  <c r="I316" i="1"/>
  <c r="F317" i="1"/>
  <c r="G317" i="1"/>
  <c r="H317" i="1"/>
  <c r="I317" i="1"/>
  <c r="F318" i="1"/>
  <c r="G318" i="1"/>
  <c r="H318" i="1"/>
  <c r="I318" i="1"/>
  <c r="F319" i="1"/>
  <c r="G319" i="1"/>
  <c r="H319" i="1"/>
  <c r="I319" i="1"/>
  <c r="F320" i="1"/>
  <c r="G320" i="1"/>
  <c r="H320" i="1"/>
  <c r="I320" i="1"/>
  <c r="F321" i="1"/>
  <c r="G321" i="1"/>
  <c r="H321" i="1"/>
  <c r="I321" i="1"/>
  <c r="F322" i="1"/>
  <c r="G322" i="1"/>
  <c r="H322" i="1"/>
  <c r="I322" i="1"/>
  <c r="F323" i="1"/>
  <c r="G323" i="1"/>
  <c r="H323" i="1"/>
  <c r="I323" i="1"/>
  <c r="F324" i="1"/>
  <c r="G324" i="1"/>
  <c r="H324" i="1"/>
  <c r="I324" i="1"/>
  <c r="F325" i="1"/>
  <c r="G325" i="1"/>
  <c r="H325" i="1"/>
  <c r="I325" i="1"/>
  <c r="F326" i="1"/>
  <c r="G326" i="1"/>
  <c r="H326" i="1"/>
  <c r="I326" i="1"/>
  <c r="F327" i="1"/>
  <c r="G327" i="1"/>
  <c r="H327" i="1"/>
  <c r="I327" i="1"/>
  <c r="F328" i="1"/>
  <c r="G328" i="1"/>
  <c r="H328" i="1"/>
  <c r="I328" i="1"/>
  <c r="F329" i="1"/>
  <c r="G329" i="1"/>
  <c r="H329" i="1"/>
  <c r="I329" i="1"/>
  <c r="F330" i="1"/>
  <c r="G330" i="1"/>
  <c r="H330" i="1"/>
  <c r="I330" i="1"/>
  <c r="F331" i="1"/>
  <c r="G331" i="1"/>
  <c r="H331" i="1"/>
  <c r="I331" i="1"/>
  <c r="F332" i="1"/>
  <c r="G332" i="1"/>
  <c r="H332" i="1"/>
  <c r="I332" i="1"/>
  <c r="F333" i="1"/>
  <c r="G333" i="1"/>
  <c r="H333" i="1"/>
  <c r="I333" i="1"/>
  <c r="F334" i="1"/>
  <c r="G334" i="1"/>
  <c r="H334" i="1"/>
  <c r="I334" i="1"/>
  <c r="F335" i="1"/>
  <c r="G335" i="1"/>
  <c r="H335" i="1"/>
  <c r="I335" i="1"/>
  <c r="F336" i="1"/>
  <c r="G336" i="1"/>
  <c r="H336" i="1"/>
  <c r="I336" i="1"/>
  <c r="F337" i="1"/>
  <c r="G337" i="1"/>
  <c r="H337" i="1"/>
  <c r="I337" i="1"/>
  <c r="F338" i="1"/>
  <c r="G338" i="1"/>
  <c r="H338" i="1"/>
  <c r="I338" i="1"/>
  <c r="F339" i="1"/>
  <c r="G339" i="1"/>
  <c r="H339" i="1"/>
  <c r="I339" i="1"/>
  <c r="F340" i="1"/>
  <c r="G340" i="1"/>
  <c r="H340" i="1"/>
  <c r="I340" i="1"/>
  <c r="F341" i="1"/>
  <c r="G341" i="1"/>
  <c r="H341" i="1"/>
  <c r="I341" i="1"/>
  <c r="F342" i="1"/>
  <c r="G342" i="1"/>
  <c r="H342" i="1"/>
  <c r="I342" i="1"/>
  <c r="F343" i="1"/>
  <c r="G343" i="1"/>
  <c r="H343" i="1"/>
  <c r="I343" i="1"/>
  <c r="F344" i="1"/>
  <c r="G344" i="1"/>
  <c r="H344" i="1"/>
  <c r="I344" i="1"/>
  <c r="F345" i="1"/>
  <c r="G345" i="1"/>
  <c r="H345" i="1"/>
  <c r="I345" i="1"/>
  <c r="F346" i="1"/>
  <c r="G346" i="1"/>
  <c r="H346" i="1"/>
  <c r="I346" i="1"/>
  <c r="F347" i="1"/>
  <c r="G347" i="1"/>
  <c r="H347" i="1"/>
  <c r="I347" i="1"/>
  <c r="F348" i="1"/>
  <c r="G348" i="1"/>
  <c r="H348" i="1"/>
  <c r="I348" i="1"/>
  <c r="F349" i="1"/>
  <c r="G349" i="1"/>
  <c r="H349" i="1"/>
  <c r="I349" i="1"/>
  <c r="F350" i="1"/>
  <c r="G350" i="1"/>
  <c r="H350" i="1"/>
  <c r="I350" i="1"/>
  <c r="F351" i="1"/>
  <c r="G351" i="1"/>
  <c r="H351" i="1"/>
  <c r="I351" i="1"/>
  <c r="F352" i="1"/>
  <c r="G352" i="1"/>
  <c r="H352" i="1"/>
  <c r="I352" i="1"/>
  <c r="F353" i="1"/>
  <c r="G353" i="1"/>
  <c r="H353" i="1"/>
  <c r="I353" i="1"/>
  <c r="F354" i="1"/>
  <c r="G354" i="1"/>
  <c r="H354" i="1"/>
  <c r="I354" i="1"/>
  <c r="F355" i="1"/>
  <c r="G355" i="1"/>
  <c r="H355" i="1"/>
  <c r="I355" i="1"/>
  <c r="F356" i="1"/>
  <c r="G356" i="1"/>
  <c r="H356" i="1"/>
  <c r="I356" i="1"/>
  <c r="F357" i="1"/>
  <c r="G357" i="1"/>
  <c r="H357" i="1"/>
  <c r="I357" i="1"/>
  <c r="F358" i="1"/>
  <c r="G358" i="1"/>
  <c r="H358" i="1"/>
  <c r="I358" i="1"/>
  <c r="I2" i="1"/>
  <c r="H2" i="1"/>
  <c r="G2" i="1"/>
  <c r="F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32" i="1"/>
  <c r="D232" i="1"/>
  <c r="C233" i="1"/>
  <c r="D233" i="1"/>
  <c r="C234" i="1"/>
  <c r="D234" i="1"/>
  <c r="C235" i="1"/>
  <c r="D235" i="1"/>
  <c r="C236" i="1"/>
  <c r="D236" i="1"/>
  <c r="C237" i="1"/>
  <c r="D237" i="1"/>
  <c r="C238" i="1"/>
  <c r="D238" i="1"/>
  <c r="C239" i="1"/>
  <c r="D239" i="1"/>
  <c r="C240" i="1"/>
  <c r="D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4" i="1"/>
  <c r="D274" i="1"/>
  <c r="C275" i="1"/>
  <c r="D275" i="1"/>
  <c r="C276" i="1"/>
  <c r="D276" i="1"/>
  <c r="C277" i="1"/>
  <c r="D277" i="1"/>
  <c r="C278" i="1"/>
  <c r="D278" i="1"/>
  <c r="C279" i="1"/>
  <c r="D279" i="1"/>
  <c r="C280" i="1"/>
  <c r="D280" i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C297" i="1"/>
  <c r="D297" i="1"/>
  <c r="C298" i="1"/>
  <c r="D298" i="1"/>
  <c r="C299" i="1"/>
  <c r="D299" i="1"/>
  <c r="C300" i="1"/>
  <c r="D300" i="1"/>
  <c r="C301" i="1"/>
  <c r="D301" i="1"/>
  <c r="C302" i="1"/>
  <c r="D302" i="1"/>
  <c r="C303" i="1"/>
  <c r="D303" i="1"/>
  <c r="C304" i="1"/>
  <c r="D304" i="1"/>
  <c r="C305" i="1"/>
  <c r="D305" i="1"/>
  <c r="C306" i="1"/>
  <c r="D306" i="1"/>
  <c r="C307" i="1"/>
  <c r="D307" i="1"/>
  <c r="C308" i="1"/>
  <c r="D308" i="1"/>
  <c r="C309" i="1"/>
  <c r="D309" i="1"/>
  <c r="C310" i="1"/>
  <c r="D310" i="1"/>
  <c r="C311" i="1"/>
  <c r="D311" i="1"/>
  <c r="C312" i="1"/>
  <c r="D312" i="1"/>
  <c r="C313" i="1"/>
  <c r="D313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26" i="1"/>
  <c r="D326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D2" i="1"/>
  <c r="C2" i="1"/>
</calcChain>
</file>

<file path=xl/sharedStrings.xml><?xml version="1.0" encoding="utf-8"?>
<sst xmlns="http://schemas.openxmlformats.org/spreadsheetml/2006/main" count="18" uniqueCount="18">
  <si>
    <t>id</t>
  </si>
  <si>
    <t>sex</t>
  </si>
  <si>
    <t>female</t>
  </si>
  <si>
    <t>male</t>
  </si>
  <si>
    <t>race</t>
  </si>
  <si>
    <t>asian</t>
  </si>
  <si>
    <t>black</t>
  </si>
  <si>
    <t>other</t>
  </si>
  <si>
    <t>white</t>
  </si>
  <si>
    <t>transfer</t>
  </si>
  <si>
    <t>ma2420seq</t>
  </si>
  <si>
    <t>cs4520seq</t>
  </si>
  <si>
    <t>tta</t>
  </si>
  <si>
    <t>ttalow</t>
  </si>
  <si>
    <t>ttamed</t>
  </si>
  <si>
    <t>ttahi</t>
  </si>
  <si>
    <t>ma2420marks</t>
  </si>
  <si>
    <t>cs4520marks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</si>
</sst>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58"/>
  <sheetViews>
    <sheetView tabSelected="1" workbookViewId="0">
      <selection activeCell="S1" sqref="S1:AF1048576"/>
    </sheetView>
  </sheetViews>
  <sheetFormatPr baseColWidth="10" defaultRowHeight="16" x14ac:dyDescent="0.2"/>
  <cols>
    <col min="1" max="1" width="6.1640625" bestFit="1" customWidth="1"/>
    <col min="2" max="2" width="3.83203125" bestFit="1" customWidth="1"/>
    <col min="3" max="3" width="7" bestFit="1" customWidth="1"/>
    <col min="4" max="4" width="5.33203125" bestFit="1" customWidth="1"/>
    <col min="5" max="5" width="4.6640625" bestFit="1" customWidth="1"/>
    <col min="6" max="6" width="5.5" bestFit="1" customWidth="1"/>
    <col min="7" max="7" width="5.33203125" bestFit="1" customWidth="1"/>
    <col min="8" max="8" width="5.5" bestFit="1" customWidth="1"/>
    <col min="9" max="9" width="5.83203125" bestFit="1" customWidth="1"/>
    <col min="10" max="10" width="7.6640625" bestFit="1" customWidth="1"/>
    <col min="11" max="11" width="7.83203125" bestFit="1" customWidth="1"/>
    <col min="12" max="12" width="10.6640625" bestFit="1" customWidth="1"/>
    <col min="13" max="13" width="6.83203125" bestFit="1" customWidth="1"/>
    <col min="14" max="14" width="9.6640625" bestFit="1" customWidth="1"/>
    <col min="15" max="15" width="3.5" bestFit="1" customWidth="1"/>
    <col min="16" max="16" width="6.5" bestFit="1" customWidth="1"/>
    <col min="17" max="17" width="7.1640625" bestFit="1" customWidth="1"/>
    <col min="18" max="18" width="5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16</v>
      </c>
      <c r="L1" t="s">
        <v>10</v>
      </c>
      <c r="M1" t="s">
        <v>17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</row>
    <row r="2" spans="1:18" x14ac:dyDescent="0.2">
      <c r="A2">
        <v>435</v>
      </c>
      <c r="B2">
        <v>0</v>
      </c>
      <c r="C2">
        <f>IF(B2=1,1,0)</f>
        <v>0</v>
      </c>
      <c r="D2">
        <f>IF(B2=0,1,0)</f>
        <v>1</v>
      </c>
      <c r="E2">
        <v>4</v>
      </c>
      <c r="F2">
        <f>IF(E2=1,1,0)</f>
        <v>0</v>
      </c>
      <c r="G2">
        <f>IF(E2=2,1,0)</f>
        <v>0</v>
      </c>
      <c r="H2">
        <f>IF(E2=3,1,0)</f>
        <v>0</v>
      </c>
      <c r="I2">
        <f>IF(E2=4,1,0)</f>
        <v>1</v>
      </c>
      <c r="J2">
        <v>1</v>
      </c>
      <c r="K2">
        <v>3.3</v>
      </c>
      <c r="L2">
        <v>9.1999999999999993</v>
      </c>
      <c r="M2">
        <v>4</v>
      </c>
      <c r="N2">
        <v>11.2</v>
      </c>
      <c r="O2" s="1">
        <f>((INT(N2)-INT(L2))*3)-(((L2-INT(L2))*10) - ((N2-INT(N2))*10))</f>
        <v>6</v>
      </c>
      <c r="P2">
        <f>IF(O2&lt;4,1,0)</f>
        <v>0</v>
      </c>
      <c r="Q2">
        <f>IF(AND(O2&gt;3,O2&lt;6),1,0)</f>
        <v>0</v>
      </c>
      <c r="R2">
        <f>IF(O2&gt;5,1,0)</f>
        <v>1</v>
      </c>
    </row>
    <row r="3" spans="1:18" x14ac:dyDescent="0.2">
      <c r="A3">
        <v>682</v>
      </c>
      <c r="B3">
        <v>1</v>
      </c>
      <c r="C3">
        <f t="shared" ref="C3:C66" si="0">IF(B3=1,1,0)</f>
        <v>1</v>
      </c>
      <c r="D3">
        <f t="shared" ref="D3:D66" si="1">IF(B3=0,1,0)</f>
        <v>0</v>
      </c>
      <c r="E3">
        <v>1</v>
      </c>
      <c r="F3">
        <f t="shared" ref="F3:F66" si="2">IF(E3=1,1,0)</f>
        <v>1</v>
      </c>
      <c r="G3">
        <f t="shared" ref="G3:G66" si="3">IF(E3=2,1,0)</f>
        <v>0</v>
      </c>
      <c r="H3">
        <f t="shared" ref="H3:H66" si="4">IF(E3=3,1,0)</f>
        <v>0</v>
      </c>
      <c r="I3">
        <f t="shared" ref="I3:I66" si="5">IF(E3=4,1,0)</f>
        <v>0</v>
      </c>
      <c r="J3">
        <v>0</v>
      </c>
      <c r="K3">
        <v>4</v>
      </c>
      <c r="L3">
        <v>9.1999999999999993</v>
      </c>
      <c r="M3">
        <v>4.3</v>
      </c>
      <c r="N3">
        <v>10.199999999999999</v>
      </c>
      <c r="O3" s="1">
        <f>((INT(N3)-INT(L3))*3)-(((L3-INT(L3))*10) - ((N3-INT(N3))*10))</f>
        <v>3</v>
      </c>
      <c r="P3">
        <f t="shared" ref="P3:P66" si="6">IF(O3&lt;4,1,0)</f>
        <v>1</v>
      </c>
      <c r="Q3">
        <f t="shared" ref="Q3:Q22" si="7">IF(AND(O3&gt;3,O3&lt;6),1,0)</f>
        <v>0</v>
      </c>
      <c r="R3">
        <f t="shared" ref="R3:R22" si="8">IF(O3&gt;5,1,0)</f>
        <v>0</v>
      </c>
    </row>
    <row r="4" spans="1:18" x14ac:dyDescent="0.2">
      <c r="A4">
        <v>1237</v>
      </c>
      <c r="B4">
        <v>0</v>
      </c>
      <c r="C4">
        <f t="shared" si="0"/>
        <v>0</v>
      </c>
      <c r="D4">
        <f t="shared" si="1"/>
        <v>1</v>
      </c>
      <c r="E4">
        <v>2</v>
      </c>
      <c r="F4">
        <f t="shared" si="2"/>
        <v>0</v>
      </c>
      <c r="G4">
        <f t="shared" si="3"/>
        <v>1</v>
      </c>
      <c r="H4">
        <f t="shared" si="4"/>
        <v>0</v>
      </c>
      <c r="I4">
        <f t="shared" si="5"/>
        <v>0</v>
      </c>
      <c r="J4">
        <v>0</v>
      </c>
      <c r="K4">
        <v>2</v>
      </c>
      <c r="L4">
        <v>10</v>
      </c>
      <c r="M4">
        <v>3.7</v>
      </c>
      <c r="N4">
        <v>11.2</v>
      </c>
      <c r="O4" s="1">
        <f>((INT(N4)-INT(L4))*3)-(((L4-INT(L4))*10) - ((N4-INT(N4))*10))</f>
        <v>4.9999999999999929</v>
      </c>
      <c r="P4">
        <f t="shared" si="6"/>
        <v>0</v>
      </c>
      <c r="Q4">
        <f t="shared" si="7"/>
        <v>1</v>
      </c>
      <c r="R4">
        <f t="shared" si="8"/>
        <v>0</v>
      </c>
    </row>
    <row r="5" spans="1:18" x14ac:dyDescent="0.2">
      <c r="A5">
        <v>1400</v>
      </c>
      <c r="B5">
        <v>0</v>
      </c>
      <c r="C5">
        <f t="shared" si="0"/>
        <v>0</v>
      </c>
      <c r="D5">
        <f t="shared" si="1"/>
        <v>1</v>
      </c>
      <c r="E5">
        <v>3</v>
      </c>
      <c r="F5">
        <f t="shared" si="2"/>
        <v>0</v>
      </c>
      <c r="G5">
        <f t="shared" si="3"/>
        <v>0</v>
      </c>
      <c r="H5">
        <f t="shared" si="4"/>
        <v>1</v>
      </c>
      <c r="I5">
        <f t="shared" si="5"/>
        <v>0</v>
      </c>
      <c r="J5">
        <v>0</v>
      </c>
      <c r="K5">
        <v>2.2999999999999998</v>
      </c>
      <c r="L5">
        <v>8.1</v>
      </c>
      <c r="M5">
        <v>3.7</v>
      </c>
      <c r="N5">
        <v>10</v>
      </c>
      <c r="O5" s="1">
        <f>((INT(N5)-INT(L5))*3)-(((L5-INT(L5))*10) - ((N5-INT(N5))*10))</f>
        <v>5.0000000000000036</v>
      </c>
      <c r="P5">
        <f t="shared" si="6"/>
        <v>0</v>
      </c>
      <c r="Q5">
        <f t="shared" si="7"/>
        <v>1</v>
      </c>
      <c r="R5">
        <f t="shared" si="8"/>
        <v>0</v>
      </c>
    </row>
    <row r="6" spans="1:18" x14ac:dyDescent="0.2">
      <c r="A6">
        <v>1488</v>
      </c>
      <c r="B6">
        <v>1</v>
      </c>
      <c r="C6">
        <f t="shared" si="0"/>
        <v>1</v>
      </c>
      <c r="D6">
        <f t="shared" si="1"/>
        <v>0</v>
      </c>
      <c r="E6">
        <v>1</v>
      </c>
      <c r="F6">
        <f t="shared" si="2"/>
        <v>1</v>
      </c>
      <c r="G6">
        <f t="shared" si="3"/>
        <v>0</v>
      </c>
      <c r="H6">
        <f t="shared" si="4"/>
        <v>0</v>
      </c>
      <c r="I6">
        <f t="shared" si="5"/>
        <v>0</v>
      </c>
      <c r="J6">
        <v>0</v>
      </c>
      <c r="K6">
        <v>4.3</v>
      </c>
      <c r="L6">
        <v>9</v>
      </c>
      <c r="M6">
        <v>4.3</v>
      </c>
      <c r="N6">
        <v>10</v>
      </c>
      <c r="O6" s="1">
        <f>((INT(N6)-INT(L6))*3)-(((L6-INT(L6))*10) - ((N6-INT(N6))*10))</f>
        <v>3</v>
      </c>
      <c r="P6">
        <f t="shared" si="6"/>
        <v>1</v>
      </c>
      <c r="Q6">
        <f t="shared" si="7"/>
        <v>0</v>
      </c>
      <c r="R6">
        <f t="shared" si="8"/>
        <v>0</v>
      </c>
    </row>
    <row r="7" spans="1:18" x14ac:dyDescent="0.2">
      <c r="A7">
        <v>1775</v>
      </c>
      <c r="B7">
        <v>0</v>
      </c>
      <c r="C7">
        <f t="shared" si="0"/>
        <v>0</v>
      </c>
      <c r="D7">
        <f t="shared" si="1"/>
        <v>1</v>
      </c>
      <c r="E7">
        <v>2</v>
      </c>
      <c r="F7">
        <f t="shared" si="2"/>
        <v>0</v>
      </c>
      <c r="G7">
        <f t="shared" si="3"/>
        <v>1</v>
      </c>
      <c r="H7">
        <f t="shared" si="4"/>
        <v>0</v>
      </c>
      <c r="I7">
        <f t="shared" si="5"/>
        <v>0</v>
      </c>
      <c r="J7">
        <v>1</v>
      </c>
      <c r="K7">
        <v>2.2999999999999998</v>
      </c>
      <c r="L7">
        <v>8.1999999999999993</v>
      </c>
      <c r="M7">
        <v>2</v>
      </c>
      <c r="N7">
        <v>10.199999999999999</v>
      </c>
      <c r="O7" s="1">
        <f>((INT(N7)-INT(L7))*3)-(((L7-INT(L7))*10) - ((N7-INT(N7))*10))</f>
        <v>6</v>
      </c>
      <c r="P7">
        <f t="shared" si="6"/>
        <v>0</v>
      </c>
      <c r="Q7">
        <f t="shared" si="7"/>
        <v>0</v>
      </c>
      <c r="R7">
        <f t="shared" si="8"/>
        <v>1</v>
      </c>
    </row>
    <row r="8" spans="1:18" x14ac:dyDescent="0.2">
      <c r="A8">
        <v>1807</v>
      </c>
      <c r="B8">
        <v>0</v>
      </c>
      <c r="C8">
        <f t="shared" si="0"/>
        <v>0</v>
      </c>
      <c r="D8">
        <f t="shared" si="1"/>
        <v>1</v>
      </c>
      <c r="E8">
        <v>2</v>
      </c>
      <c r="F8">
        <f t="shared" si="2"/>
        <v>0</v>
      </c>
      <c r="G8">
        <f t="shared" si="3"/>
        <v>1</v>
      </c>
      <c r="H8">
        <f t="shared" si="4"/>
        <v>0</v>
      </c>
      <c r="I8">
        <f t="shared" si="5"/>
        <v>0</v>
      </c>
      <c r="J8">
        <v>1</v>
      </c>
      <c r="K8">
        <v>2</v>
      </c>
      <c r="L8">
        <v>10.199999999999999</v>
      </c>
      <c r="M8">
        <v>2</v>
      </c>
      <c r="N8">
        <v>12</v>
      </c>
      <c r="O8" s="1">
        <f>((INT(N8)-INT(L8))*3)-(((L8-INT(L8))*10) - ((N8-INT(N8))*10))</f>
        <v>4.0000000000000071</v>
      </c>
      <c r="P8">
        <f t="shared" si="6"/>
        <v>0</v>
      </c>
      <c r="Q8">
        <f t="shared" si="7"/>
        <v>1</v>
      </c>
      <c r="R8">
        <f t="shared" si="8"/>
        <v>0</v>
      </c>
    </row>
    <row r="9" spans="1:18" x14ac:dyDescent="0.2">
      <c r="A9">
        <v>2249</v>
      </c>
      <c r="B9">
        <v>0</v>
      </c>
      <c r="C9">
        <f t="shared" si="0"/>
        <v>0</v>
      </c>
      <c r="D9">
        <f t="shared" si="1"/>
        <v>1</v>
      </c>
      <c r="E9">
        <v>2</v>
      </c>
      <c r="F9">
        <f t="shared" si="2"/>
        <v>0</v>
      </c>
      <c r="G9">
        <f t="shared" si="3"/>
        <v>1</v>
      </c>
      <c r="H9">
        <f t="shared" si="4"/>
        <v>0</v>
      </c>
      <c r="I9">
        <f t="shared" si="5"/>
        <v>0</v>
      </c>
      <c r="J9">
        <v>0</v>
      </c>
      <c r="K9">
        <v>2.7</v>
      </c>
      <c r="L9">
        <v>9</v>
      </c>
      <c r="M9">
        <v>3</v>
      </c>
      <c r="N9">
        <v>11.2</v>
      </c>
      <c r="O9" s="1">
        <f>((INT(N9)-INT(L9))*3)-(((L9-INT(L9))*10) - ((N9-INT(N9))*10))</f>
        <v>7.9999999999999929</v>
      </c>
      <c r="P9">
        <f t="shared" si="6"/>
        <v>0</v>
      </c>
      <c r="Q9">
        <f t="shared" si="7"/>
        <v>0</v>
      </c>
      <c r="R9">
        <f t="shared" si="8"/>
        <v>1</v>
      </c>
    </row>
    <row r="10" spans="1:18" x14ac:dyDescent="0.2">
      <c r="A10">
        <v>2533</v>
      </c>
      <c r="B10">
        <v>0</v>
      </c>
      <c r="C10">
        <f t="shared" si="0"/>
        <v>0</v>
      </c>
      <c r="D10">
        <f t="shared" si="1"/>
        <v>1</v>
      </c>
      <c r="E10">
        <v>4</v>
      </c>
      <c r="F10">
        <f t="shared" si="2"/>
        <v>0</v>
      </c>
      <c r="G10">
        <f t="shared" si="3"/>
        <v>0</v>
      </c>
      <c r="H10">
        <f t="shared" si="4"/>
        <v>0</v>
      </c>
      <c r="I10">
        <f t="shared" si="5"/>
        <v>1</v>
      </c>
      <c r="J10">
        <v>1</v>
      </c>
      <c r="K10">
        <v>4.3</v>
      </c>
      <c r="L10">
        <v>4</v>
      </c>
      <c r="M10">
        <v>3</v>
      </c>
      <c r="N10">
        <v>11</v>
      </c>
      <c r="O10" s="1">
        <f>((INT(N10)-INT(L10))*3)-(((L10-INT(L10))*10) - ((N10-INT(N10))*10))</f>
        <v>21</v>
      </c>
      <c r="P10">
        <f t="shared" si="6"/>
        <v>0</v>
      </c>
      <c r="Q10">
        <f t="shared" si="7"/>
        <v>0</v>
      </c>
      <c r="R10">
        <f t="shared" si="8"/>
        <v>1</v>
      </c>
    </row>
    <row r="11" spans="1:18" x14ac:dyDescent="0.2">
      <c r="A11">
        <v>2536</v>
      </c>
      <c r="B11">
        <v>0</v>
      </c>
      <c r="C11">
        <f t="shared" si="0"/>
        <v>0</v>
      </c>
      <c r="D11">
        <f t="shared" si="1"/>
        <v>1</v>
      </c>
      <c r="E11">
        <v>1</v>
      </c>
      <c r="F11">
        <f t="shared" si="2"/>
        <v>1</v>
      </c>
      <c r="G11">
        <f t="shared" si="3"/>
        <v>0</v>
      </c>
      <c r="H11">
        <f t="shared" si="4"/>
        <v>0</v>
      </c>
      <c r="I11">
        <f t="shared" si="5"/>
        <v>0</v>
      </c>
      <c r="J11">
        <v>0</v>
      </c>
      <c r="K11">
        <v>4.3</v>
      </c>
      <c r="L11">
        <v>10.199999999999999</v>
      </c>
      <c r="M11">
        <v>4.3</v>
      </c>
      <c r="N11">
        <v>12</v>
      </c>
      <c r="O11" s="1">
        <f>((INT(N11)-INT(L11))*3)-(((L11-INT(L11))*10) - ((N11-INT(N11))*10))</f>
        <v>4.0000000000000071</v>
      </c>
      <c r="P11">
        <f t="shared" si="6"/>
        <v>0</v>
      </c>
      <c r="Q11">
        <f t="shared" si="7"/>
        <v>1</v>
      </c>
      <c r="R11">
        <f t="shared" si="8"/>
        <v>0</v>
      </c>
    </row>
    <row r="12" spans="1:18" x14ac:dyDescent="0.2">
      <c r="A12">
        <v>2722</v>
      </c>
      <c r="B12">
        <v>0</v>
      </c>
      <c r="C12">
        <f t="shared" si="0"/>
        <v>0</v>
      </c>
      <c r="D12">
        <f t="shared" si="1"/>
        <v>1</v>
      </c>
      <c r="E12">
        <v>1</v>
      </c>
      <c r="F12">
        <f t="shared" si="2"/>
        <v>1</v>
      </c>
      <c r="G12">
        <f t="shared" si="3"/>
        <v>0</v>
      </c>
      <c r="H12">
        <f t="shared" si="4"/>
        <v>0</v>
      </c>
      <c r="I12">
        <f t="shared" si="5"/>
        <v>0</v>
      </c>
      <c r="J12">
        <v>1</v>
      </c>
      <c r="K12">
        <v>4.3</v>
      </c>
      <c r="L12">
        <v>11</v>
      </c>
      <c r="M12">
        <v>3</v>
      </c>
      <c r="N12">
        <v>12</v>
      </c>
      <c r="O12" s="1">
        <f>((INT(N12)-INT(L12))*3)-(((L12-INT(L12))*10) - ((N12-INT(N12))*10))</f>
        <v>3</v>
      </c>
      <c r="P12">
        <f t="shared" si="6"/>
        <v>1</v>
      </c>
      <c r="Q12">
        <f t="shared" si="7"/>
        <v>0</v>
      </c>
      <c r="R12">
        <f t="shared" si="8"/>
        <v>0</v>
      </c>
    </row>
    <row r="13" spans="1:18" x14ac:dyDescent="0.2">
      <c r="A13">
        <v>2851</v>
      </c>
      <c r="B13">
        <v>1</v>
      </c>
      <c r="C13">
        <f t="shared" si="0"/>
        <v>1</v>
      </c>
      <c r="D13">
        <f t="shared" si="1"/>
        <v>0</v>
      </c>
      <c r="E13">
        <v>1</v>
      </c>
      <c r="F13">
        <f t="shared" si="2"/>
        <v>1</v>
      </c>
      <c r="G13">
        <f t="shared" si="3"/>
        <v>0</v>
      </c>
      <c r="H13">
        <f t="shared" si="4"/>
        <v>0</v>
      </c>
      <c r="I13">
        <f t="shared" si="5"/>
        <v>0</v>
      </c>
      <c r="J13">
        <v>1</v>
      </c>
      <c r="K13">
        <v>4.3</v>
      </c>
      <c r="L13">
        <v>9</v>
      </c>
      <c r="M13">
        <v>3</v>
      </c>
      <c r="N13">
        <v>11</v>
      </c>
      <c r="O13" s="1">
        <f>((INT(N13)-INT(L13))*3)-(((L13-INT(L13))*10) - ((N13-INT(N13))*10))</f>
        <v>6</v>
      </c>
      <c r="P13">
        <f t="shared" si="6"/>
        <v>0</v>
      </c>
      <c r="Q13">
        <f t="shared" si="7"/>
        <v>0</v>
      </c>
      <c r="R13">
        <f t="shared" si="8"/>
        <v>1</v>
      </c>
    </row>
    <row r="14" spans="1:18" x14ac:dyDescent="0.2">
      <c r="A14">
        <v>3661</v>
      </c>
      <c r="B14">
        <v>0</v>
      </c>
      <c r="C14">
        <f t="shared" si="0"/>
        <v>0</v>
      </c>
      <c r="D14">
        <f t="shared" si="1"/>
        <v>1</v>
      </c>
      <c r="E14">
        <v>2</v>
      </c>
      <c r="F14">
        <f t="shared" si="2"/>
        <v>0</v>
      </c>
      <c r="G14">
        <f t="shared" si="3"/>
        <v>1</v>
      </c>
      <c r="H14">
        <f t="shared" si="4"/>
        <v>0</v>
      </c>
      <c r="I14">
        <f t="shared" si="5"/>
        <v>0</v>
      </c>
      <c r="J14">
        <v>0</v>
      </c>
      <c r="K14">
        <v>2</v>
      </c>
      <c r="L14">
        <v>10</v>
      </c>
      <c r="M14">
        <v>2</v>
      </c>
      <c r="N14">
        <v>10</v>
      </c>
      <c r="O14" s="1">
        <f>((INT(N14)-INT(L14))*3)-(((L14-INT(L14))*10) - ((N14-INT(N14))*10))</f>
        <v>0</v>
      </c>
      <c r="P14">
        <f t="shared" si="6"/>
        <v>1</v>
      </c>
      <c r="Q14">
        <f t="shared" si="7"/>
        <v>0</v>
      </c>
      <c r="R14">
        <f t="shared" si="8"/>
        <v>0</v>
      </c>
    </row>
    <row r="15" spans="1:18" x14ac:dyDescent="0.2">
      <c r="A15">
        <v>3826</v>
      </c>
      <c r="B15">
        <v>0</v>
      </c>
      <c r="C15">
        <f t="shared" si="0"/>
        <v>0</v>
      </c>
      <c r="D15">
        <f t="shared" si="1"/>
        <v>1</v>
      </c>
      <c r="E15">
        <v>1</v>
      </c>
      <c r="F15">
        <f t="shared" si="2"/>
        <v>1</v>
      </c>
      <c r="G15">
        <f t="shared" si="3"/>
        <v>0</v>
      </c>
      <c r="H15">
        <f t="shared" si="4"/>
        <v>0</v>
      </c>
      <c r="I15">
        <f t="shared" si="5"/>
        <v>0</v>
      </c>
      <c r="J15">
        <v>1</v>
      </c>
      <c r="K15">
        <v>3.3</v>
      </c>
      <c r="L15">
        <v>11.2</v>
      </c>
      <c r="M15">
        <v>3</v>
      </c>
      <c r="N15">
        <v>12.1</v>
      </c>
      <c r="O15" s="1">
        <f>((INT(N15)-INT(L15))*3)-(((L15-INT(L15))*10) - ((N15-INT(N15))*10))</f>
        <v>2.0000000000000036</v>
      </c>
      <c r="P15">
        <f t="shared" si="6"/>
        <v>1</v>
      </c>
      <c r="Q15">
        <f t="shared" si="7"/>
        <v>0</v>
      </c>
      <c r="R15">
        <f t="shared" si="8"/>
        <v>0</v>
      </c>
    </row>
    <row r="16" spans="1:18" x14ac:dyDescent="0.2">
      <c r="A16">
        <v>4221</v>
      </c>
      <c r="B16">
        <v>0</v>
      </c>
      <c r="C16">
        <f t="shared" si="0"/>
        <v>0</v>
      </c>
      <c r="D16">
        <f t="shared" si="1"/>
        <v>1</v>
      </c>
      <c r="E16">
        <v>3</v>
      </c>
      <c r="F16">
        <f t="shared" si="2"/>
        <v>0</v>
      </c>
      <c r="G16">
        <f t="shared" si="3"/>
        <v>0</v>
      </c>
      <c r="H16">
        <f t="shared" si="4"/>
        <v>1</v>
      </c>
      <c r="I16">
        <f t="shared" si="5"/>
        <v>0</v>
      </c>
      <c r="J16">
        <v>0</v>
      </c>
      <c r="K16">
        <v>4.3</v>
      </c>
      <c r="L16">
        <v>12</v>
      </c>
      <c r="M16">
        <v>4.3</v>
      </c>
      <c r="N16">
        <v>10.199999999999999</v>
      </c>
      <c r="O16" s="1">
        <f>((INT(N16)-INT(L16))*3)-(((L16-INT(L16))*10) - ((N16-INT(N16))*10))</f>
        <v>-4.0000000000000071</v>
      </c>
      <c r="P16">
        <f t="shared" si="6"/>
        <v>1</v>
      </c>
      <c r="Q16">
        <f t="shared" si="7"/>
        <v>0</v>
      </c>
      <c r="R16">
        <f t="shared" si="8"/>
        <v>0</v>
      </c>
    </row>
    <row r="17" spans="1:18" x14ac:dyDescent="0.2">
      <c r="A17">
        <v>4463</v>
      </c>
      <c r="B17">
        <v>0</v>
      </c>
      <c r="C17">
        <f t="shared" si="0"/>
        <v>0</v>
      </c>
      <c r="D17">
        <f t="shared" si="1"/>
        <v>1</v>
      </c>
      <c r="E17">
        <v>2</v>
      </c>
      <c r="F17">
        <f t="shared" si="2"/>
        <v>0</v>
      </c>
      <c r="G17">
        <f t="shared" si="3"/>
        <v>1</v>
      </c>
      <c r="H17">
        <f t="shared" si="4"/>
        <v>0</v>
      </c>
      <c r="I17">
        <f t="shared" si="5"/>
        <v>0</v>
      </c>
      <c r="J17">
        <v>0</v>
      </c>
      <c r="K17">
        <v>3.3</v>
      </c>
      <c r="L17">
        <v>10</v>
      </c>
      <c r="M17">
        <v>3.3</v>
      </c>
      <c r="N17">
        <v>12.2</v>
      </c>
      <c r="O17" s="1">
        <f>((INT(N17)-INT(L17))*3)-(((L17-INT(L17))*10) - ((N17-INT(N17))*10))</f>
        <v>7.9999999999999929</v>
      </c>
      <c r="P17">
        <f t="shared" si="6"/>
        <v>0</v>
      </c>
      <c r="Q17">
        <f t="shared" si="7"/>
        <v>0</v>
      </c>
      <c r="R17">
        <f t="shared" si="8"/>
        <v>1</v>
      </c>
    </row>
    <row r="18" spans="1:18" x14ac:dyDescent="0.2">
      <c r="A18">
        <v>4499</v>
      </c>
      <c r="B18">
        <v>1</v>
      </c>
      <c r="C18">
        <f t="shared" si="0"/>
        <v>1</v>
      </c>
      <c r="D18">
        <f t="shared" si="1"/>
        <v>0</v>
      </c>
      <c r="E18">
        <v>3</v>
      </c>
      <c r="F18">
        <f t="shared" si="2"/>
        <v>0</v>
      </c>
      <c r="G18">
        <f t="shared" si="3"/>
        <v>0</v>
      </c>
      <c r="H18">
        <f t="shared" si="4"/>
        <v>1</v>
      </c>
      <c r="I18">
        <f t="shared" si="5"/>
        <v>0</v>
      </c>
      <c r="J18">
        <v>0</v>
      </c>
      <c r="K18">
        <v>3.7</v>
      </c>
      <c r="L18">
        <v>7.2</v>
      </c>
      <c r="M18">
        <v>3.7</v>
      </c>
      <c r="N18">
        <v>9.1999999999999993</v>
      </c>
      <c r="O18" s="1">
        <v>6</v>
      </c>
      <c r="P18">
        <f t="shared" si="6"/>
        <v>0</v>
      </c>
      <c r="Q18">
        <f t="shared" si="7"/>
        <v>0</v>
      </c>
      <c r="R18">
        <f t="shared" si="8"/>
        <v>1</v>
      </c>
    </row>
    <row r="19" spans="1:18" x14ac:dyDescent="0.2">
      <c r="A19">
        <v>4558</v>
      </c>
      <c r="B19">
        <v>0</v>
      </c>
      <c r="C19">
        <f t="shared" si="0"/>
        <v>0</v>
      </c>
      <c r="D19">
        <f t="shared" si="1"/>
        <v>1</v>
      </c>
      <c r="E19">
        <v>4</v>
      </c>
      <c r="F19">
        <f t="shared" si="2"/>
        <v>0</v>
      </c>
      <c r="G19">
        <f t="shared" si="3"/>
        <v>0</v>
      </c>
      <c r="H19">
        <f t="shared" si="4"/>
        <v>0</v>
      </c>
      <c r="I19">
        <f t="shared" si="5"/>
        <v>1</v>
      </c>
      <c r="J19">
        <v>0</v>
      </c>
      <c r="K19">
        <v>3.7</v>
      </c>
      <c r="L19">
        <v>8</v>
      </c>
      <c r="M19">
        <v>4</v>
      </c>
      <c r="N19">
        <v>12.2</v>
      </c>
      <c r="O19" s="1">
        <f>((INT(N19)-INT(L19))*3)-(((L19-INT(L19))*10) - ((N19-INT(N19))*10))</f>
        <v>13.999999999999993</v>
      </c>
      <c r="P19">
        <f t="shared" si="6"/>
        <v>0</v>
      </c>
      <c r="Q19">
        <f t="shared" si="7"/>
        <v>0</v>
      </c>
      <c r="R19">
        <f t="shared" si="8"/>
        <v>1</v>
      </c>
    </row>
    <row r="20" spans="1:18" x14ac:dyDescent="0.2">
      <c r="A20">
        <v>4670</v>
      </c>
      <c r="B20">
        <v>0</v>
      </c>
      <c r="C20">
        <f t="shared" si="0"/>
        <v>0</v>
      </c>
      <c r="D20">
        <f t="shared" si="1"/>
        <v>1</v>
      </c>
      <c r="E20">
        <v>4</v>
      </c>
      <c r="F20">
        <f t="shared" si="2"/>
        <v>0</v>
      </c>
      <c r="G20">
        <f t="shared" si="3"/>
        <v>0</v>
      </c>
      <c r="H20">
        <f t="shared" si="4"/>
        <v>0</v>
      </c>
      <c r="I20">
        <f t="shared" si="5"/>
        <v>1</v>
      </c>
      <c r="J20">
        <v>1</v>
      </c>
      <c r="K20">
        <v>2.2999999999999998</v>
      </c>
      <c r="L20">
        <v>4</v>
      </c>
      <c r="M20">
        <v>2</v>
      </c>
      <c r="N20">
        <v>6</v>
      </c>
      <c r="O20" s="1">
        <f>((INT(N20)-INT(L20))*3)-(((L20-INT(L20))*10) - ((N20-INT(N20))*10))</f>
        <v>6</v>
      </c>
      <c r="P20">
        <f t="shared" si="6"/>
        <v>0</v>
      </c>
      <c r="Q20">
        <f t="shared" si="7"/>
        <v>0</v>
      </c>
      <c r="R20">
        <f t="shared" si="8"/>
        <v>1</v>
      </c>
    </row>
    <row r="21" spans="1:18" x14ac:dyDescent="0.2">
      <c r="A21">
        <v>4806</v>
      </c>
      <c r="B21">
        <v>0</v>
      </c>
      <c r="C21">
        <f t="shared" si="0"/>
        <v>0</v>
      </c>
      <c r="D21">
        <f t="shared" si="1"/>
        <v>1</v>
      </c>
      <c r="E21">
        <v>1</v>
      </c>
      <c r="F21">
        <f t="shared" si="2"/>
        <v>1</v>
      </c>
      <c r="G21">
        <f t="shared" si="3"/>
        <v>0</v>
      </c>
      <c r="H21">
        <f t="shared" si="4"/>
        <v>0</v>
      </c>
      <c r="I21">
        <f t="shared" si="5"/>
        <v>0</v>
      </c>
      <c r="J21">
        <v>0</v>
      </c>
      <c r="K21">
        <v>3</v>
      </c>
      <c r="L21">
        <v>8.1999999999999993</v>
      </c>
      <c r="M21">
        <v>2</v>
      </c>
      <c r="N21">
        <v>11.2</v>
      </c>
      <c r="O21" s="1">
        <f>((INT(N21)-INT(L21))*3)-(((L21-INT(L21))*10) - ((N21-INT(N21))*10))</f>
        <v>9</v>
      </c>
      <c r="P21">
        <f t="shared" si="6"/>
        <v>0</v>
      </c>
      <c r="Q21">
        <f t="shared" si="7"/>
        <v>0</v>
      </c>
      <c r="R21">
        <f t="shared" si="8"/>
        <v>1</v>
      </c>
    </row>
    <row r="22" spans="1:18" x14ac:dyDescent="0.2">
      <c r="A22">
        <v>5036</v>
      </c>
      <c r="B22">
        <v>0</v>
      </c>
      <c r="C22">
        <f t="shared" si="0"/>
        <v>0</v>
      </c>
      <c r="D22">
        <f t="shared" si="1"/>
        <v>1</v>
      </c>
      <c r="E22">
        <v>4</v>
      </c>
      <c r="F22">
        <f t="shared" si="2"/>
        <v>0</v>
      </c>
      <c r="G22">
        <f t="shared" si="3"/>
        <v>0</v>
      </c>
      <c r="H22">
        <f t="shared" si="4"/>
        <v>0</v>
      </c>
      <c r="I22">
        <f t="shared" si="5"/>
        <v>1</v>
      </c>
      <c r="J22">
        <v>1</v>
      </c>
      <c r="K22">
        <v>4.3</v>
      </c>
      <c r="L22">
        <v>7.2</v>
      </c>
      <c r="M22">
        <v>4.3</v>
      </c>
      <c r="N22">
        <v>9.1</v>
      </c>
      <c r="O22" s="1">
        <f>((INT(N22)-INT(L22))*3)-(((L22-INT(L22))*10) - ((N22-INT(N22))*10))</f>
        <v>4.9999999999999947</v>
      </c>
      <c r="P22">
        <f t="shared" si="6"/>
        <v>0</v>
      </c>
      <c r="Q22">
        <f t="shared" si="7"/>
        <v>1</v>
      </c>
      <c r="R22">
        <f t="shared" si="8"/>
        <v>0</v>
      </c>
    </row>
    <row r="23" spans="1:18" x14ac:dyDescent="0.2">
      <c r="A23">
        <v>5163</v>
      </c>
      <c r="B23">
        <v>1</v>
      </c>
      <c r="C23">
        <f t="shared" si="0"/>
        <v>1</v>
      </c>
      <c r="D23">
        <f t="shared" si="1"/>
        <v>0</v>
      </c>
      <c r="E23">
        <v>1</v>
      </c>
      <c r="F23">
        <f t="shared" si="2"/>
        <v>1</v>
      </c>
      <c r="G23">
        <f t="shared" si="3"/>
        <v>0</v>
      </c>
      <c r="H23">
        <f t="shared" si="4"/>
        <v>0</v>
      </c>
      <c r="I23">
        <f t="shared" si="5"/>
        <v>0</v>
      </c>
      <c r="J23">
        <v>1</v>
      </c>
      <c r="K23">
        <v>2.2999999999999998</v>
      </c>
      <c r="L23">
        <v>10</v>
      </c>
      <c r="M23">
        <v>2</v>
      </c>
      <c r="N23">
        <v>11.1</v>
      </c>
      <c r="O23" s="1">
        <f>((INT(N23)-INT(L23))*3)-(((L23-INT(L23))*10) - ((N23-INT(N23))*10))</f>
        <v>3.9999999999999964</v>
      </c>
      <c r="P23">
        <f t="shared" si="6"/>
        <v>0</v>
      </c>
      <c r="Q23">
        <f t="shared" ref="Q23:Q86" si="9">IF(AND(O23&gt;3,O23&lt;6),1,0)</f>
        <v>1</v>
      </c>
      <c r="R23">
        <f t="shared" ref="R23:R86" si="10">IF(O23&gt;5,1,0)</f>
        <v>0</v>
      </c>
    </row>
    <row r="24" spans="1:18" x14ac:dyDescent="0.2">
      <c r="A24">
        <v>5420</v>
      </c>
      <c r="B24">
        <v>0</v>
      </c>
      <c r="C24">
        <f t="shared" si="0"/>
        <v>0</v>
      </c>
      <c r="D24">
        <f t="shared" si="1"/>
        <v>1</v>
      </c>
      <c r="E24">
        <v>2</v>
      </c>
      <c r="F24">
        <f t="shared" si="2"/>
        <v>0</v>
      </c>
      <c r="G24">
        <f t="shared" si="3"/>
        <v>1</v>
      </c>
      <c r="H24">
        <f t="shared" si="4"/>
        <v>0</v>
      </c>
      <c r="I24">
        <f t="shared" si="5"/>
        <v>0</v>
      </c>
      <c r="J24">
        <v>1</v>
      </c>
      <c r="K24">
        <v>4</v>
      </c>
      <c r="L24">
        <v>11</v>
      </c>
      <c r="M24">
        <v>2.2999999999999998</v>
      </c>
      <c r="N24">
        <v>12.2</v>
      </c>
      <c r="O24" s="1">
        <f>((INT(N24)-INT(L24))*3)-(((L24-INT(L24))*10) - ((N24-INT(N24))*10))</f>
        <v>4.9999999999999929</v>
      </c>
      <c r="P24">
        <f t="shared" si="6"/>
        <v>0</v>
      </c>
      <c r="Q24">
        <f t="shared" si="9"/>
        <v>1</v>
      </c>
      <c r="R24">
        <f t="shared" si="10"/>
        <v>0</v>
      </c>
    </row>
    <row r="25" spans="1:18" x14ac:dyDescent="0.2">
      <c r="A25">
        <v>5636</v>
      </c>
      <c r="B25">
        <v>0</v>
      </c>
      <c r="C25">
        <f t="shared" si="0"/>
        <v>0</v>
      </c>
      <c r="D25">
        <f t="shared" si="1"/>
        <v>1</v>
      </c>
      <c r="E25">
        <v>1</v>
      </c>
      <c r="F25">
        <f t="shared" si="2"/>
        <v>1</v>
      </c>
      <c r="G25">
        <f t="shared" si="3"/>
        <v>0</v>
      </c>
      <c r="H25">
        <f t="shared" si="4"/>
        <v>0</v>
      </c>
      <c r="I25">
        <f t="shared" si="5"/>
        <v>0</v>
      </c>
      <c r="J25">
        <v>0</v>
      </c>
      <c r="K25">
        <v>3</v>
      </c>
      <c r="L25">
        <v>8</v>
      </c>
      <c r="M25">
        <v>3.7</v>
      </c>
      <c r="N25">
        <v>8.1999999999999993</v>
      </c>
      <c r="O25" s="1">
        <f>((INT(N25)-INT(L25))*3)-(((L25-INT(L25))*10) - ((N25-INT(N25))*10))</f>
        <v>1.9999999999999929</v>
      </c>
      <c r="P25">
        <f t="shared" si="6"/>
        <v>1</v>
      </c>
      <c r="Q25">
        <f t="shared" si="9"/>
        <v>0</v>
      </c>
      <c r="R25">
        <f t="shared" si="10"/>
        <v>0</v>
      </c>
    </row>
    <row r="26" spans="1:18" x14ac:dyDescent="0.2">
      <c r="A26">
        <v>5753</v>
      </c>
      <c r="B26">
        <v>1</v>
      </c>
      <c r="C26">
        <f t="shared" si="0"/>
        <v>1</v>
      </c>
      <c r="D26">
        <f t="shared" si="1"/>
        <v>0</v>
      </c>
      <c r="E26">
        <v>1</v>
      </c>
      <c r="F26">
        <f t="shared" si="2"/>
        <v>1</v>
      </c>
      <c r="G26">
        <f t="shared" si="3"/>
        <v>0</v>
      </c>
      <c r="H26">
        <f t="shared" si="4"/>
        <v>0</v>
      </c>
      <c r="I26">
        <f t="shared" si="5"/>
        <v>0</v>
      </c>
      <c r="J26">
        <v>0</v>
      </c>
      <c r="K26">
        <v>2.7</v>
      </c>
      <c r="L26">
        <v>10.1</v>
      </c>
      <c r="M26">
        <v>2.2999999999999998</v>
      </c>
      <c r="N26">
        <v>12</v>
      </c>
      <c r="O26" s="1">
        <f>((INT(N26)-INT(L26))*3)-(((L26-INT(L26))*10) - ((N26-INT(N26))*10))</f>
        <v>5.0000000000000036</v>
      </c>
      <c r="P26">
        <f t="shared" si="6"/>
        <v>0</v>
      </c>
      <c r="Q26">
        <f t="shared" si="9"/>
        <v>1</v>
      </c>
      <c r="R26">
        <f t="shared" si="10"/>
        <v>0</v>
      </c>
    </row>
    <row r="27" spans="1:18" x14ac:dyDescent="0.2">
      <c r="A27">
        <v>5756</v>
      </c>
      <c r="B27">
        <v>0</v>
      </c>
      <c r="C27">
        <f t="shared" si="0"/>
        <v>0</v>
      </c>
      <c r="D27">
        <f t="shared" si="1"/>
        <v>1</v>
      </c>
      <c r="E27">
        <v>3</v>
      </c>
      <c r="F27">
        <f t="shared" si="2"/>
        <v>0</v>
      </c>
      <c r="G27">
        <f t="shared" si="3"/>
        <v>0</v>
      </c>
      <c r="H27">
        <f t="shared" si="4"/>
        <v>1</v>
      </c>
      <c r="I27">
        <f t="shared" si="5"/>
        <v>0</v>
      </c>
      <c r="J27">
        <v>1</v>
      </c>
      <c r="K27">
        <v>3.7</v>
      </c>
      <c r="L27">
        <v>6.1</v>
      </c>
      <c r="M27">
        <v>3.3</v>
      </c>
      <c r="N27">
        <v>5.0999999999999996</v>
      </c>
      <c r="O27" s="1">
        <f>((INT(N27)-INT(L27))*3)-(((L27-INT(L27))*10) - ((N27-INT(N27))*10))</f>
        <v>-3</v>
      </c>
      <c r="P27">
        <f t="shared" si="6"/>
        <v>1</v>
      </c>
      <c r="Q27">
        <f t="shared" si="9"/>
        <v>0</v>
      </c>
      <c r="R27">
        <f t="shared" si="10"/>
        <v>0</v>
      </c>
    </row>
    <row r="28" spans="1:18" x14ac:dyDescent="0.2">
      <c r="A28">
        <v>6219</v>
      </c>
      <c r="B28">
        <v>0</v>
      </c>
      <c r="C28">
        <f t="shared" si="0"/>
        <v>0</v>
      </c>
      <c r="D28">
        <f t="shared" si="1"/>
        <v>1</v>
      </c>
      <c r="E28">
        <v>1</v>
      </c>
      <c r="F28">
        <f t="shared" si="2"/>
        <v>1</v>
      </c>
      <c r="G28">
        <f t="shared" si="3"/>
        <v>0</v>
      </c>
      <c r="H28">
        <f t="shared" si="4"/>
        <v>0</v>
      </c>
      <c r="I28">
        <f t="shared" si="5"/>
        <v>0</v>
      </c>
      <c r="J28">
        <v>0</v>
      </c>
      <c r="K28">
        <v>2.7</v>
      </c>
      <c r="L28">
        <v>9</v>
      </c>
      <c r="M28">
        <v>2.7</v>
      </c>
      <c r="N28">
        <v>11</v>
      </c>
      <c r="O28" s="1">
        <f>((INT(N28)-INT(L28))*3)-(((L28-INT(L28))*10) - ((N28-INT(N28))*10))</f>
        <v>6</v>
      </c>
      <c r="P28">
        <f t="shared" si="6"/>
        <v>0</v>
      </c>
      <c r="Q28">
        <f t="shared" si="9"/>
        <v>0</v>
      </c>
      <c r="R28">
        <f t="shared" si="10"/>
        <v>1</v>
      </c>
    </row>
    <row r="29" spans="1:18" x14ac:dyDescent="0.2">
      <c r="A29">
        <v>6220</v>
      </c>
      <c r="B29">
        <v>0</v>
      </c>
      <c r="C29">
        <f t="shared" si="0"/>
        <v>0</v>
      </c>
      <c r="D29">
        <f t="shared" si="1"/>
        <v>1</v>
      </c>
      <c r="E29">
        <v>1</v>
      </c>
      <c r="F29">
        <f t="shared" si="2"/>
        <v>1</v>
      </c>
      <c r="G29">
        <f t="shared" si="3"/>
        <v>0</v>
      </c>
      <c r="H29">
        <f t="shared" si="4"/>
        <v>0</v>
      </c>
      <c r="I29">
        <f t="shared" si="5"/>
        <v>0</v>
      </c>
      <c r="J29">
        <v>1</v>
      </c>
      <c r="K29">
        <v>3</v>
      </c>
      <c r="L29">
        <v>4.2</v>
      </c>
      <c r="M29">
        <v>2.7</v>
      </c>
      <c r="N29">
        <v>7</v>
      </c>
      <c r="O29" s="1">
        <f>((INT(N29)-INT(L29))*3)-(((L29-INT(L29))*10) - ((N29-INT(N29))*10))</f>
        <v>6.9999999999999982</v>
      </c>
      <c r="P29">
        <f t="shared" si="6"/>
        <v>0</v>
      </c>
      <c r="Q29">
        <f t="shared" si="9"/>
        <v>0</v>
      </c>
      <c r="R29">
        <f t="shared" si="10"/>
        <v>1</v>
      </c>
    </row>
    <row r="30" spans="1:18" x14ac:dyDescent="0.2">
      <c r="A30">
        <v>6403</v>
      </c>
      <c r="B30">
        <v>0</v>
      </c>
      <c r="C30">
        <f t="shared" si="0"/>
        <v>0</v>
      </c>
      <c r="D30">
        <f t="shared" si="1"/>
        <v>1</v>
      </c>
      <c r="E30">
        <v>4</v>
      </c>
      <c r="F30">
        <f t="shared" si="2"/>
        <v>0</v>
      </c>
      <c r="G30">
        <f t="shared" si="3"/>
        <v>0</v>
      </c>
      <c r="H30">
        <f t="shared" si="4"/>
        <v>0</v>
      </c>
      <c r="I30">
        <f t="shared" si="5"/>
        <v>1</v>
      </c>
      <c r="J30">
        <v>0</v>
      </c>
      <c r="K30">
        <v>3</v>
      </c>
      <c r="L30">
        <v>9.1999999999999993</v>
      </c>
      <c r="M30">
        <v>3.7</v>
      </c>
      <c r="N30">
        <v>11</v>
      </c>
      <c r="O30" s="1">
        <f>((INT(N30)-INT(L30))*3)-(((L30-INT(L30))*10) - ((N30-INT(N30))*10))</f>
        <v>4.0000000000000071</v>
      </c>
      <c r="P30">
        <f t="shared" si="6"/>
        <v>0</v>
      </c>
      <c r="Q30">
        <f t="shared" si="9"/>
        <v>1</v>
      </c>
      <c r="R30">
        <f t="shared" si="10"/>
        <v>0</v>
      </c>
    </row>
    <row r="31" spans="1:18" x14ac:dyDescent="0.2">
      <c r="A31">
        <v>6428</v>
      </c>
      <c r="B31">
        <v>0</v>
      </c>
      <c r="C31">
        <f t="shared" si="0"/>
        <v>0</v>
      </c>
      <c r="D31">
        <f t="shared" si="1"/>
        <v>1</v>
      </c>
      <c r="E31">
        <v>2</v>
      </c>
      <c r="F31">
        <f t="shared" si="2"/>
        <v>0</v>
      </c>
      <c r="G31">
        <f t="shared" si="3"/>
        <v>1</v>
      </c>
      <c r="H31">
        <f t="shared" si="4"/>
        <v>0</v>
      </c>
      <c r="I31">
        <f t="shared" si="5"/>
        <v>0</v>
      </c>
      <c r="J31">
        <v>0</v>
      </c>
      <c r="K31">
        <v>3.7</v>
      </c>
      <c r="L31">
        <v>7.2</v>
      </c>
      <c r="M31">
        <v>3.7</v>
      </c>
      <c r="N31">
        <v>9</v>
      </c>
      <c r="O31" s="1">
        <f>((INT(N31)-INT(L31))*3)-(((L31-INT(L31))*10) - ((N31-INT(N31))*10))</f>
        <v>3.9999999999999982</v>
      </c>
      <c r="P31">
        <f t="shared" si="6"/>
        <v>0</v>
      </c>
      <c r="Q31">
        <f t="shared" si="9"/>
        <v>1</v>
      </c>
      <c r="R31">
        <f t="shared" si="10"/>
        <v>0</v>
      </c>
    </row>
    <row r="32" spans="1:18" x14ac:dyDescent="0.2">
      <c r="A32">
        <v>6434</v>
      </c>
      <c r="B32">
        <v>0</v>
      </c>
      <c r="C32">
        <f t="shared" si="0"/>
        <v>0</v>
      </c>
      <c r="D32">
        <f t="shared" si="1"/>
        <v>1</v>
      </c>
      <c r="E32">
        <v>1</v>
      </c>
      <c r="F32">
        <f t="shared" si="2"/>
        <v>1</v>
      </c>
      <c r="G32">
        <f t="shared" si="3"/>
        <v>0</v>
      </c>
      <c r="H32">
        <f t="shared" si="4"/>
        <v>0</v>
      </c>
      <c r="I32">
        <f t="shared" si="5"/>
        <v>0</v>
      </c>
      <c r="J32">
        <v>0</v>
      </c>
      <c r="K32">
        <v>4</v>
      </c>
      <c r="L32">
        <v>9.1999999999999993</v>
      </c>
      <c r="M32">
        <v>4</v>
      </c>
      <c r="N32">
        <v>11</v>
      </c>
      <c r="O32" s="1">
        <f>((INT(N32)-INT(L32))*3)-(((L32-INT(L32))*10) - ((N32-INT(N32))*10))</f>
        <v>4.0000000000000071</v>
      </c>
      <c r="P32">
        <f t="shared" si="6"/>
        <v>0</v>
      </c>
      <c r="Q32">
        <f t="shared" si="9"/>
        <v>1</v>
      </c>
      <c r="R32">
        <f t="shared" si="10"/>
        <v>0</v>
      </c>
    </row>
    <row r="33" spans="1:18" x14ac:dyDescent="0.2">
      <c r="A33">
        <v>6544</v>
      </c>
      <c r="B33">
        <v>1</v>
      </c>
      <c r="C33">
        <f t="shared" si="0"/>
        <v>1</v>
      </c>
      <c r="D33">
        <f t="shared" si="1"/>
        <v>0</v>
      </c>
      <c r="E33">
        <v>2</v>
      </c>
      <c r="F33">
        <f t="shared" si="2"/>
        <v>0</v>
      </c>
      <c r="G33">
        <f t="shared" si="3"/>
        <v>1</v>
      </c>
      <c r="H33">
        <f t="shared" si="4"/>
        <v>0</v>
      </c>
      <c r="I33">
        <f t="shared" si="5"/>
        <v>0</v>
      </c>
      <c r="J33">
        <v>0</v>
      </c>
      <c r="K33">
        <v>3.7</v>
      </c>
      <c r="L33">
        <v>4</v>
      </c>
      <c r="M33">
        <v>2.7</v>
      </c>
      <c r="N33">
        <v>6</v>
      </c>
      <c r="O33" s="1">
        <f>((INT(N33)-INT(L33))*3)-(((L33-INT(L33))*10) - ((N33-INT(N33))*10))</f>
        <v>6</v>
      </c>
      <c r="P33">
        <f t="shared" si="6"/>
        <v>0</v>
      </c>
      <c r="Q33">
        <f t="shared" si="9"/>
        <v>0</v>
      </c>
      <c r="R33">
        <f t="shared" si="10"/>
        <v>1</v>
      </c>
    </row>
    <row r="34" spans="1:18" x14ac:dyDescent="0.2">
      <c r="A34">
        <v>6606</v>
      </c>
      <c r="B34">
        <v>0</v>
      </c>
      <c r="C34">
        <f t="shared" si="0"/>
        <v>0</v>
      </c>
      <c r="D34">
        <f t="shared" si="1"/>
        <v>1</v>
      </c>
      <c r="E34">
        <v>1</v>
      </c>
      <c r="F34">
        <f t="shared" si="2"/>
        <v>1</v>
      </c>
      <c r="G34">
        <f t="shared" si="3"/>
        <v>0</v>
      </c>
      <c r="H34">
        <f t="shared" si="4"/>
        <v>0</v>
      </c>
      <c r="I34">
        <f t="shared" si="5"/>
        <v>0</v>
      </c>
      <c r="J34">
        <v>1</v>
      </c>
      <c r="K34">
        <v>4</v>
      </c>
      <c r="L34">
        <v>11</v>
      </c>
      <c r="M34">
        <v>4</v>
      </c>
      <c r="N34">
        <v>12</v>
      </c>
      <c r="O34" s="1">
        <f>((INT(N34)-INT(L34))*3)-(((L34-INT(L34))*10) - ((N34-INT(N34))*10))</f>
        <v>3</v>
      </c>
      <c r="P34">
        <f t="shared" si="6"/>
        <v>1</v>
      </c>
      <c r="Q34">
        <f t="shared" si="9"/>
        <v>0</v>
      </c>
      <c r="R34">
        <f t="shared" si="10"/>
        <v>0</v>
      </c>
    </row>
    <row r="35" spans="1:18" x14ac:dyDescent="0.2">
      <c r="A35">
        <v>6618</v>
      </c>
      <c r="B35">
        <v>1</v>
      </c>
      <c r="C35">
        <f t="shared" si="0"/>
        <v>1</v>
      </c>
      <c r="D35">
        <f t="shared" si="1"/>
        <v>0</v>
      </c>
      <c r="E35">
        <v>1</v>
      </c>
      <c r="F35">
        <f t="shared" si="2"/>
        <v>1</v>
      </c>
      <c r="G35">
        <f t="shared" si="3"/>
        <v>0</v>
      </c>
      <c r="H35">
        <f t="shared" si="4"/>
        <v>0</v>
      </c>
      <c r="I35">
        <f t="shared" si="5"/>
        <v>0</v>
      </c>
      <c r="J35">
        <v>1</v>
      </c>
      <c r="K35">
        <v>4.3</v>
      </c>
      <c r="L35">
        <v>10</v>
      </c>
      <c r="M35">
        <v>4</v>
      </c>
      <c r="N35">
        <v>11</v>
      </c>
      <c r="O35" s="1">
        <f>((INT(N35)-INT(L35))*3)-(((L35-INT(L35))*10) - ((N35-INT(N35))*10))</f>
        <v>3</v>
      </c>
      <c r="P35">
        <f t="shared" si="6"/>
        <v>1</v>
      </c>
      <c r="Q35">
        <f t="shared" si="9"/>
        <v>0</v>
      </c>
      <c r="R35">
        <f t="shared" si="10"/>
        <v>0</v>
      </c>
    </row>
    <row r="36" spans="1:18" x14ac:dyDescent="0.2">
      <c r="A36">
        <v>7076</v>
      </c>
      <c r="B36">
        <v>0</v>
      </c>
      <c r="C36">
        <f t="shared" si="0"/>
        <v>0</v>
      </c>
      <c r="D36">
        <f t="shared" si="1"/>
        <v>1</v>
      </c>
      <c r="E36">
        <v>1</v>
      </c>
      <c r="F36">
        <f t="shared" si="2"/>
        <v>1</v>
      </c>
      <c r="G36">
        <f t="shared" si="3"/>
        <v>0</v>
      </c>
      <c r="H36">
        <f t="shared" si="4"/>
        <v>0</v>
      </c>
      <c r="I36">
        <f t="shared" si="5"/>
        <v>0</v>
      </c>
      <c r="J36">
        <v>0</v>
      </c>
      <c r="K36">
        <v>2</v>
      </c>
      <c r="L36">
        <v>9.1999999999999993</v>
      </c>
      <c r="M36">
        <v>4</v>
      </c>
      <c r="N36">
        <v>11.2</v>
      </c>
      <c r="O36" s="1">
        <f>((INT(N36)-INT(L36))*3)-(((L36-INT(L36))*10) - ((N36-INT(N36))*10))</f>
        <v>6</v>
      </c>
      <c r="P36">
        <f t="shared" si="6"/>
        <v>0</v>
      </c>
      <c r="Q36">
        <f t="shared" si="9"/>
        <v>0</v>
      </c>
      <c r="R36">
        <f t="shared" si="10"/>
        <v>1</v>
      </c>
    </row>
    <row r="37" spans="1:18" x14ac:dyDescent="0.2">
      <c r="A37">
        <v>7106</v>
      </c>
      <c r="B37">
        <v>1</v>
      </c>
      <c r="C37">
        <f t="shared" si="0"/>
        <v>1</v>
      </c>
      <c r="D37">
        <f t="shared" si="1"/>
        <v>0</v>
      </c>
      <c r="E37">
        <v>1</v>
      </c>
      <c r="F37">
        <f t="shared" si="2"/>
        <v>1</v>
      </c>
      <c r="G37">
        <f t="shared" si="3"/>
        <v>0</v>
      </c>
      <c r="H37">
        <f t="shared" si="4"/>
        <v>0</v>
      </c>
      <c r="I37">
        <f t="shared" si="5"/>
        <v>0</v>
      </c>
      <c r="J37">
        <v>1</v>
      </c>
      <c r="K37">
        <v>3</v>
      </c>
      <c r="L37">
        <v>10</v>
      </c>
      <c r="M37">
        <v>3</v>
      </c>
      <c r="N37">
        <v>11.1</v>
      </c>
      <c r="O37" s="1">
        <f>((INT(N37)-INT(L37))*3)-(((L37-INT(L37))*10) - ((N37-INT(N37))*10))</f>
        <v>3.9999999999999964</v>
      </c>
      <c r="P37">
        <f t="shared" si="6"/>
        <v>0</v>
      </c>
      <c r="Q37">
        <f t="shared" si="9"/>
        <v>1</v>
      </c>
      <c r="R37">
        <f t="shared" si="10"/>
        <v>0</v>
      </c>
    </row>
    <row r="38" spans="1:18" x14ac:dyDescent="0.2">
      <c r="A38">
        <v>7399</v>
      </c>
      <c r="B38">
        <v>0</v>
      </c>
      <c r="C38">
        <f t="shared" si="0"/>
        <v>0</v>
      </c>
      <c r="D38">
        <f t="shared" si="1"/>
        <v>1</v>
      </c>
      <c r="E38">
        <v>1</v>
      </c>
      <c r="F38">
        <f t="shared" si="2"/>
        <v>1</v>
      </c>
      <c r="G38">
        <f t="shared" si="3"/>
        <v>0</v>
      </c>
      <c r="H38">
        <f t="shared" si="4"/>
        <v>0</v>
      </c>
      <c r="I38">
        <f t="shared" si="5"/>
        <v>0</v>
      </c>
      <c r="J38">
        <v>1</v>
      </c>
      <c r="K38">
        <v>3</v>
      </c>
      <c r="L38">
        <v>8</v>
      </c>
      <c r="M38">
        <v>3</v>
      </c>
      <c r="N38">
        <v>8.1999999999999993</v>
      </c>
      <c r="O38" s="1">
        <f>((INT(N38)-INT(L38))*3)-(((L38-INT(L38))*10) - ((N38-INT(N38))*10))</f>
        <v>1.9999999999999929</v>
      </c>
      <c r="P38">
        <f t="shared" si="6"/>
        <v>1</v>
      </c>
      <c r="Q38">
        <f t="shared" si="9"/>
        <v>0</v>
      </c>
      <c r="R38">
        <f t="shared" si="10"/>
        <v>0</v>
      </c>
    </row>
    <row r="39" spans="1:18" x14ac:dyDescent="0.2">
      <c r="A39">
        <v>7452</v>
      </c>
      <c r="B39">
        <v>0</v>
      </c>
      <c r="C39">
        <f t="shared" si="0"/>
        <v>0</v>
      </c>
      <c r="D39">
        <f t="shared" si="1"/>
        <v>1</v>
      </c>
      <c r="E39">
        <v>2</v>
      </c>
      <c r="F39">
        <f t="shared" si="2"/>
        <v>0</v>
      </c>
      <c r="G39">
        <f t="shared" si="3"/>
        <v>1</v>
      </c>
      <c r="H39">
        <f t="shared" si="4"/>
        <v>0</v>
      </c>
      <c r="I39">
        <f t="shared" si="5"/>
        <v>0</v>
      </c>
      <c r="J39">
        <v>1</v>
      </c>
      <c r="K39">
        <v>2</v>
      </c>
      <c r="L39">
        <v>8</v>
      </c>
      <c r="M39">
        <v>4</v>
      </c>
      <c r="N39">
        <v>9.1999999999999993</v>
      </c>
      <c r="O39" s="1">
        <f>((INT(N39)-INT(L39))*3)-(((L39-INT(L39))*10) - ((N39-INT(N39))*10))</f>
        <v>4.9999999999999929</v>
      </c>
      <c r="P39">
        <f t="shared" si="6"/>
        <v>0</v>
      </c>
      <c r="Q39">
        <f t="shared" si="9"/>
        <v>1</v>
      </c>
      <c r="R39">
        <f t="shared" si="10"/>
        <v>0</v>
      </c>
    </row>
    <row r="40" spans="1:18" x14ac:dyDescent="0.2">
      <c r="A40">
        <v>7539</v>
      </c>
      <c r="B40">
        <v>0</v>
      </c>
      <c r="C40">
        <f t="shared" si="0"/>
        <v>0</v>
      </c>
      <c r="D40">
        <f t="shared" si="1"/>
        <v>1</v>
      </c>
      <c r="E40">
        <v>1</v>
      </c>
      <c r="F40">
        <f t="shared" si="2"/>
        <v>1</v>
      </c>
      <c r="G40">
        <f t="shared" si="3"/>
        <v>0</v>
      </c>
      <c r="H40">
        <f t="shared" si="4"/>
        <v>0</v>
      </c>
      <c r="I40">
        <f t="shared" si="5"/>
        <v>0</v>
      </c>
      <c r="J40">
        <v>1</v>
      </c>
      <c r="K40">
        <v>2</v>
      </c>
      <c r="L40">
        <v>2.2000000000000002</v>
      </c>
      <c r="M40">
        <v>2</v>
      </c>
      <c r="N40">
        <v>4</v>
      </c>
      <c r="O40" s="1">
        <f>((INT(N40)-INT(L40))*3)-(((L40-INT(L40))*10) - ((N40-INT(N40))*10))</f>
        <v>3.9999999999999982</v>
      </c>
      <c r="P40">
        <f t="shared" si="6"/>
        <v>0</v>
      </c>
      <c r="Q40">
        <f t="shared" si="9"/>
        <v>1</v>
      </c>
      <c r="R40">
        <f t="shared" si="10"/>
        <v>0</v>
      </c>
    </row>
    <row r="41" spans="1:18" x14ac:dyDescent="0.2">
      <c r="A41">
        <v>7760</v>
      </c>
      <c r="B41">
        <v>0</v>
      </c>
      <c r="C41">
        <f t="shared" si="0"/>
        <v>0</v>
      </c>
      <c r="D41">
        <f t="shared" si="1"/>
        <v>1</v>
      </c>
      <c r="E41">
        <v>1</v>
      </c>
      <c r="F41">
        <f t="shared" si="2"/>
        <v>1</v>
      </c>
      <c r="G41">
        <f t="shared" si="3"/>
        <v>0</v>
      </c>
      <c r="H41">
        <f t="shared" si="4"/>
        <v>0</v>
      </c>
      <c r="I41">
        <f t="shared" si="5"/>
        <v>0</v>
      </c>
      <c r="J41">
        <v>0</v>
      </c>
      <c r="K41">
        <v>2</v>
      </c>
      <c r="L41">
        <v>8</v>
      </c>
      <c r="M41">
        <v>2.7</v>
      </c>
      <c r="N41">
        <v>10.199999999999999</v>
      </c>
      <c r="O41" s="1">
        <f>((INT(N41)-INT(L41))*3)-(((L41-INT(L41))*10) - ((N41-INT(N41))*10))</f>
        <v>7.9999999999999929</v>
      </c>
      <c r="P41">
        <f t="shared" si="6"/>
        <v>0</v>
      </c>
      <c r="Q41">
        <f t="shared" si="9"/>
        <v>0</v>
      </c>
      <c r="R41">
        <f t="shared" si="10"/>
        <v>1</v>
      </c>
    </row>
    <row r="42" spans="1:18" x14ac:dyDescent="0.2">
      <c r="A42">
        <v>8168</v>
      </c>
      <c r="B42">
        <v>0</v>
      </c>
      <c r="C42">
        <f t="shared" si="0"/>
        <v>0</v>
      </c>
      <c r="D42">
        <f t="shared" si="1"/>
        <v>1</v>
      </c>
      <c r="E42">
        <v>1</v>
      </c>
      <c r="F42">
        <f t="shared" si="2"/>
        <v>1</v>
      </c>
      <c r="G42">
        <f t="shared" si="3"/>
        <v>0</v>
      </c>
      <c r="H42">
        <f t="shared" si="4"/>
        <v>0</v>
      </c>
      <c r="I42">
        <f t="shared" si="5"/>
        <v>0</v>
      </c>
      <c r="J42">
        <v>0</v>
      </c>
      <c r="K42">
        <v>4.3</v>
      </c>
      <c r="L42">
        <v>8.1999999999999993</v>
      </c>
      <c r="M42">
        <v>4.3</v>
      </c>
      <c r="N42">
        <v>10</v>
      </c>
      <c r="O42" s="1">
        <f>((INT(N42)-INT(L42))*3)-(((L42-INT(L42))*10) - ((N42-INT(N42))*10))</f>
        <v>4.0000000000000071</v>
      </c>
      <c r="P42">
        <f t="shared" si="6"/>
        <v>0</v>
      </c>
      <c r="Q42">
        <f t="shared" si="9"/>
        <v>1</v>
      </c>
      <c r="R42">
        <f t="shared" si="10"/>
        <v>0</v>
      </c>
    </row>
    <row r="43" spans="1:18" x14ac:dyDescent="0.2">
      <c r="A43">
        <v>8231</v>
      </c>
      <c r="B43">
        <v>0</v>
      </c>
      <c r="C43">
        <f t="shared" si="0"/>
        <v>0</v>
      </c>
      <c r="D43">
        <f t="shared" si="1"/>
        <v>1</v>
      </c>
      <c r="E43">
        <v>1</v>
      </c>
      <c r="F43">
        <f t="shared" si="2"/>
        <v>1</v>
      </c>
      <c r="G43">
        <f t="shared" si="3"/>
        <v>0</v>
      </c>
      <c r="H43">
        <f t="shared" si="4"/>
        <v>0</v>
      </c>
      <c r="I43">
        <f t="shared" si="5"/>
        <v>0</v>
      </c>
      <c r="J43">
        <v>1</v>
      </c>
      <c r="K43">
        <v>4.3</v>
      </c>
      <c r="L43">
        <v>11</v>
      </c>
      <c r="M43">
        <v>4</v>
      </c>
      <c r="N43">
        <v>12</v>
      </c>
      <c r="O43" s="1">
        <f>((INT(N43)-INT(L43))*3)-(((L43-INT(L43))*10) - ((N43-INT(N43))*10))</f>
        <v>3</v>
      </c>
      <c r="P43">
        <f t="shared" si="6"/>
        <v>1</v>
      </c>
      <c r="Q43">
        <f t="shared" si="9"/>
        <v>0</v>
      </c>
      <c r="R43">
        <f t="shared" si="10"/>
        <v>0</v>
      </c>
    </row>
    <row r="44" spans="1:18" x14ac:dyDescent="0.2">
      <c r="A44">
        <v>8413</v>
      </c>
      <c r="B44">
        <v>0</v>
      </c>
      <c r="C44">
        <f t="shared" si="0"/>
        <v>0</v>
      </c>
      <c r="D44">
        <f t="shared" si="1"/>
        <v>1</v>
      </c>
      <c r="E44">
        <v>1</v>
      </c>
      <c r="F44">
        <f t="shared" si="2"/>
        <v>1</v>
      </c>
      <c r="G44">
        <f t="shared" si="3"/>
        <v>0</v>
      </c>
      <c r="H44">
        <f t="shared" si="4"/>
        <v>0</v>
      </c>
      <c r="I44">
        <f t="shared" si="5"/>
        <v>0</v>
      </c>
      <c r="J44">
        <v>0</v>
      </c>
      <c r="K44">
        <v>3.3</v>
      </c>
      <c r="L44">
        <v>9.1999999999999993</v>
      </c>
      <c r="M44">
        <v>3.7</v>
      </c>
      <c r="N44">
        <v>11</v>
      </c>
      <c r="O44" s="1">
        <f>((INT(N44)-INT(L44))*3)-(((L44-INT(L44))*10) - ((N44-INT(N44))*10))</f>
        <v>4.0000000000000071</v>
      </c>
      <c r="P44">
        <f t="shared" si="6"/>
        <v>0</v>
      </c>
      <c r="Q44">
        <f t="shared" si="9"/>
        <v>1</v>
      </c>
      <c r="R44">
        <f t="shared" si="10"/>
        <v>0</v>
      </c>
    </row>
    <row r="45" spans="1:18" x14ac:dyDescent="0.2">
      <c r="A45">
        <v>8439</v>
      </c>
      <c r="B45">
        <v>0</v>
      </c>
      <c r="C45">
        <f t="shared" si="0"/>
        <v>0</v>
      </c>
      <c r="D45">
        <f t="shared" si="1"/>
        <v>1</v>
      </c>
      <c r="E45">
        <v>2</v>
      </c>
      <c r="F45">
        <f t="shared" si="2"/>
        <v>0</v>
      </c>
      <c r="G45">
        <f t="shared" si="3"/>
        <v>1</v>
      </c>
      <c r="H45">
        <f t="shared" si="4"/>
        <v>0</v>
      </c>
      <c r="I45">
        <f t="shared" si="5"/>
        <v>0</v>
      </c>
      <c r="J45">
        <v>0</v>
      </c>
      <c r="K45">
        <v>2</v>
      </c>
      <c r="L45">
        <v>8.1999999999999993</v>
      </c>
      <c r="M45">
        <v>3</v>
      </c>
      <c r="N45">
        <v>10.199999999999999</v>
      </c>
      <c r="O45" s="1">
        <f>((INT(N45)-INT(L45))*3)-(((L45-INT(L45))*10) - ((N45-INT(N45))*10))</f>
        <v>6</v>
      </c>
      <c r="P45">
        <f t="shared" si="6"/>
        <v>0</v>
      </c>
      <c r="Q45">
        <f t="shared" si="9"/>
        <v>0</v>
      </c>
      <c r="R45">
        <f t="shared" si="10"/>
        <v>1</v>
      </c>
    </row>
    <row r="46" spans="1:18" x14ac:dyDescent="0.2">
      <c r="A46">
        <v>8725</v>
      </c>
      <c r="B46">
        <v>0</v>
      </c>
      <c r="C46">
        <f t="shared" si="0"/>
        <v>0</v>
      </c>
      <c r="D46">
        <f t="shared" si="1"/>
        <v>1</v>
      </c>
      <c r="E46">
        <v>1</v>
      </c>
      <c r="F46">
        <f t="shared" si="2"/>
        <v>1</v>
      </c>
      <c r="G46">
        <f t="shared" si="3"/>
        <v>0</v>
      </c>
      <c r="H46">
        <f t="shared" si="4"/>
        <v>0</v>
      </c>
      <c r="I46">
        <f t="shared" si="5"/>
        <v>0</v>
      </c>
      <c r="J46">
        <v>0</v>
      </c>
      <c r="K46">
        <v>3.3</v>
      </c>
      <c r="L46">
        <v>9</v>
      </c>
      <c r="M46">
        <v>3.7</v>
      </c>
      <c r="N46">
        <v>10.199999999999999</v>
      </c>
      <c r="O46" s="1">
        <f>((INT(N46)-INT(L46))*3)-(((L46-INT(L46))*10) - ((N46-INT(N46))*10))</f>
        <v>4.9999999999999929</v>
      </c>
      <c r="P46">
        <f t="shared" si="6"/>
        <v>0</v>
      </c>
      <c r="Q46">
        <f t="shared" si="9"/>
        <v>1</v>
      </c>
      <c r="R46">
        <f t="shared" si="10"/>
        <v>0</v>
      </c>
    </row>
    <row r="47" spans="1:18" x14ac:dyDescent="0.2">
      <c r="A47">
        <v>8744</v>
      </c>
      <c r="B47">
        <v>0</v>
      </c>
      <c r="C47">
        <f t="shared" si="0"/>
        <v>0</v>
      </c>
      <c r="D47">
        <f t="shared" si="1"/>
        <v>1</v>
      </c>
      <c r="E47">
        <v>4</v>
      </c>
      <c r="F47">
        <f t="shared" si="2"/>
        <v>0</v>
      </c>
      <c r="G47">
        <f t="shared" si="3"/>
        <v>0</v>
      </c>
      <c r="H47">
        <f t="shared" si="4"/>
        <v>0</v>
      </c>
      <c r="I47">
        <f t="shared" si="5"/>
        <v>1</v>
      </c>
      <c r="J47">
        <v>0</v>
      </c>
      <c r="K47">
        <v>3</v>
      </c>
      <c r="L47">
        <v>10</v>
      </c>
      <c r="M47">
        <v>3</v>
      </c>
      <c r="N47">
        <v>11.2</v>
      </c>
      <c r="O47" s="1">
        <f>((INT(N47)-INT(L47))*3)-(((L47-INT(L47))*10) - ((N47-INT(N47))*10))</f>
        <v>4.9999999999999929</v>
      </c>
      <c r="P47">
        <f t="shared" si="6"/>
        <v>0</v>
      </c>
      <c r="Q47">
        <f t="shared" si="9"/>
        <v>1</v>
      </c>
      <c r="R47">
        <f t="shared" si="10"/>
        <v>0</v>
      </c>
    </row>
    <row r="48" spans="1:18" x14ac:dyDescent="0.2">
      <c r="A48">
        <v>9114</v>
      </c>
      <c r="B48">
        <v>0</v>
      </c>
      <c r="C48">
        <f t="shared" si="0"/>
        <v>0</v>
      </c>
      <c r="D48">
        <f t="shared" si="1"/>
        <v>1</v>
      </c>
      <c r="E48">
        <v>1</v>
      </c>
      <c r="F48">
        <f t="shared" si="2"/>
        <v>1</v>
      </c>
      <c r="G48">
        <f t="shared" si="3"/>
        <v>0</v>
      </c>
      <c r="H48">
        <f t="shared" si="4"/>
        <v>0</v>
      </c>
      <c r="I48">
        <f t="shared" si="5"/>
        <v>0</v>
      </c>
      <c r="J48">
        <v>0</v>
      </c>
      <c r="K48">
        <v>4.3</v>
      </c>
      <c r="L48">
        <v>9.1999999999999993</v>
      </c>
      <c r="M48">
        <v>4.3</v>
      </c>
      <c r="N48">
        <v>11.2</v>
      </c>
      <c r="O48" s="1">
        <f>((INT(N48)-INT(L48))*3)-(((L48-INT(L48))*10) - ((N48-INT(N48))*10))</f>
        <v>6</v>
      </c>
      <c r="P48">
        <f t="shared" si="6"/>
        <v>0</v>
      </c>
      <c r="Q48">
        <f t="shared" si="9"/>
        <v>0</v>
      </c>
      <c r="R48">
        <f t="shared" si="10"/>
        <v>1</v>
      </c>
    </row>
    <row r="49" spans="1:18" x14ac:dyDescent="0.2">
      <c r="A49">
        <v>9146</v>
      </c>
      <c r="B49">
        <v>0</v>
      </c>
      <c r="C49">
        <f t="shared" si="0"/>
        <v>0</v>
      </c>
      <c r="D49">
        <f t="shared" si="1"/>
        <v>1</v>
      </c>
      <c r="E49">
        <v>4</v>
      </c>
      <c r="F49">
        <f t="shared" si="2"/>
        <v>0</v>
      </c>
      <c r="G49">
        <f t="shared" si="3"/>
        <v>0</v>
      </c>
      <c r="H49">
        <f t="shared" si="4"/>
        <v>0</v>
      </c>
      <c r="I49">
        <f t="shared" si="5"/>
        <v>1</v>
      </c>
      <c r="J49">
        <v>0</v>
      </c>
      <c r="K49">
        <v>2</v>
      </c>
      <c r="L49">
        <v>9.1999999999999993</v>
      </c>
      <c r="M49">
        <v>3</v>
      </c>
      <c r="N49">
        <v>11</v>
      </c>
      <c r="O49" s="1">
        <f>((INT(N49)-INT(L49))*3)-(((L49-INT(L49))*10) - ((N49-INT(N49))*10))</f>
        <v>4.0000000000000071</v>
      </c>
      <c r="P49">
        <f t="shared" si="6"/>
        <v>0</v>
      </c>
      <c r="Q49">
        <f t="shared" si="9"/>
        <v>1</v>
      </c>
      <c r="R49">
        <f t="shared" si="10"/>
        <v>0</v>
      </c>
    </row>
    <row r="50" spans="1:18" x14ac:dyDescent="0.2">
      <c r="A50">
        <v>9355</v>
      </c>
      <c r="B50">
        <v>0</v>
      </c>
      <c r="C50">
        <f t="shared" si="0"/>
        <v>0</v>
      </c>
      <c r="D50">
        <f t="shared" si="1"/>
        <v>1</v>
      </c>
      <c r="E50">
        <v>1</v>
      </c>
      <c r="F50">
        <f t="shared" si="2"/>
        <v>1</v>
      </c>
      <c r="G50">
        <f t="shared" si="3"/>
        <v>0</v>
      </c>
      <c r="H50">
        <f t="shared" si="4"/>
        <v>0</v>
      </c>
      <c r="I50">
        <f t="shared" si="5"/>
        <v>0</v>
      </c>
      <c r="J50">
        <v>0</v>
      </c>
      <c r="K50">
        <v>2</v>
      </c>
      <c r="L50">
        <v>9</v>
      </c>
      <c r="M50">
        <v>3.3</v>
      </c>
      <c r="N50">
        <v>10</v>
      </c>
      <c r="O50" s="1">
        <f>((INT(N50)-INT(L50))*3)-(((L50-INT(L50))*10) - ((N50-INT(N50))*10))</f>
        <v>3</v>
      </c>
      <c r="P50">
        <f t="shared" si="6"/>
        <v>1</v>
      </c>
      <c r="Q50">
        <f t="shared" si="9"/>
        <v>0</v>
      </c>
      <c r="R50">
        <f t="shared" si="10"/>
        <v>0</v>
      </c>
    </row>
    <row r="51" spans="1:18" x14ac:dyDescent="0.2">
      <c r="A51">
        <v>9455</v>
      </c>
      <c r="B51">
        <v>1</v>
      </c>
      <c r="C51">
        <f t="shared" si="0"/>
        <v>1</v>
      </c>
      <c r="D51">
        <f t="shared" si="1"/>
        <v>0</v>
      </c>
      <c r="E51">
        <v>4</v>
      </c>
      <c r="F51">
        <f t="shared" si="2"/>
        <v>0</v>
      </c>
      <c r="G51">
        <f t="shared" si="3"/>
        <v>0</v>
      </c>
      <c r="H51">
        <f t="shared" si="4"/>
        <v>0</v>
      </c>
      <c r="I51">
        <f t="shared" si="5"/>
        <v>1</v>
      </c>
      <c r="J51">
        <v>0</v>
      </c>
      <c r="K51">
        <v>4</v>
      </c>
      <c r="L51">
        <v>8.1999999999999993</v>
      </c>
      <c r="M51">
        <v>3.7</v>
      </c>
      <c r="N51">
        <v>10</v>
      </c>
      <c r="O51" s="1">
        <f>((INT(N51)-INT(L51))*3)-(((L51-INT(L51))*10) - ((N51-INT(N51))*10))</f>
        <v>4.0000000000000071</v>
      </c>
      <c r="P51">
        <f t="shared" si="6"/>
        <v>0</v>
      </c>
      <c r="Q51">
        <f t="shared" si="9"/>
        <v>1</v>
      </c>
      <c r="R51">
        <f t="shared" si="10"/>
        <v>0</v>
      </c>
    </row>
    <row r="52" spans="1:18" x14ac:dyDescent="0.2">
      <c r="A52">
        <v>9533</v>
      </c>
      <c r="B52">
        <v>0</v>
      </c>
      <c r="C52">
        <f t="shared" si="0"/>
        <v>0</v>
      </c>
      <c r="D52">
        <f t="shared" si="1"/>
        <v>1</v>
      </c>
      <c r="E52">
        <v>3</v>
      </c>
      <c r="F52">
        <f t="shared" si="2"/>
        <v>0</v>
      </c>
      <c r="G52">
        <f t="shared" si="3"/>
        <v>0</v>
      </c>
      <c r="H52">
        <f t="shared" si="4"/>
        <v>1</v>
      </c>
      <c r="I52">
        <f t="shared" si="5"/>
        <v>0</v>
      </c>
      <c r="J52">
        <v>0</v>
      </c>
      <c r="K52">
        <v>4</v>
      </c>
      <c r="L52">
        <v>6</v>
      </c>
      <c r="M52">
        <v>3.7</v>
      </c>
      <c r="N52">
        <v>8</v>
      </c>
      <c r="O52" s="1">
        <f>((INT(N52)-INT(L52))*3)-(((L52-INT(L52))*10) - ((N52-INT(N52))*10))</f>
        <v>6</v>
      </c>
      <c r="P52">
        <f t="shared" si="6"/>
        <v>0</v>
      </c>
      <c r="Q52">
        <f t="shared" si="9"/>
        <v>0</v>
      </c>
      <c r="R52">
        <f t="shared" si="10"/>
        <v>1</v>
      </c>
    </row>
    <row r="53" spans="1:18" x14ac:dyDescent="0.2">
      <c r="A53">
        <v>9600</v>
      </c>
      <c r="B53">
        <v>0</v>
      </c>
      <c r="C53">
        <f t="shared" si="0"/>
        <v>0</v>
      </c>
      <c r="D53">
        <f t="shared" si="1"/>
        <v>1</v>
      </c>
      <c r="E53">
        <v>4</v>
      </c>
      <c r="F53">
        <f t="shared" si="2"/>
        <v>0</v>
      </c>
      <c r="G53">
        <f t="shared" si="3"/>
        <v>0</v>
      </c>
      <c r="H53">
        <f t="shared" si="4"/>
        <v>0</v>
      </c>
      <c r="I53">
        <f t="shared" si="5"/>
        <v>1</v>
      </c>
      <c r="J53">
        <v>0</v>
      </c>
      <c r="K53">
        <v>2.7</v>
      </c>
      <c r="L53">
        <v>10</v>
      </c>
      <c r="M53">
        <v>3</v>
      </c>
      <c r="N53">
        <v>11</v>
      </c>
      <c r="O53" s="1">
        <f>((INT(N53)-INT(L53))*3)-(((L53-INT(L53))*10) - ((N53-INT(N53))*10))</f>
        <v>3</v>
      </c>
      <c r="P53">
        <f t="shared" si="6"/>
        <v>1</v>
      </c>
      <c r="Q53">
        <f t="shared" si="9"/>
        <v>0</v>
      </c>
      <c r="R53">
        <f t="shared" si="10"/>
        <v>0</v>
      </c>
    </row>
    <row r="54" spans="1:18" x14ac:dyDescent="0.2">
      <c r="A54">
        <v>9932</v>
      </c>
      <c r="B54">
        <v>0</v>
      </c>
      <c r="C54">
        <f t="shared" si="0"/>
        <v>0</v>
      </c>
      <c r="D54">
        <f t="shared" si="1"/>
        <v>1</v>
      </c>
      <c r="E54">
        <v>3</v>
      </c>
      <c r="F54">
        <f t="shared" si="2"/>
        <v>0</v>
      </c>
      <c r="G54">
        <f t="shared" si="3"/>
        <v>0</v>
      </c>
      <c r="H54">
        <f t="shared" si="4"/>
        <v>1</v>
      </c>
      <c r="I54">
        <f t="shared" si="5"/>
        <v>0</v>
      </c>
      <c r="J54">
        <v>1</v>
      </c>
      <c r="K54">
        <v>2</v>
      </c>
      <c r="L54">
        <v>10</v>
      </c>
      <c r="M54">
        <v>2</v>
      </c>
      <c r="N54">
        <v>11.2</v>
      </c>
      <c r="O54" s="1">
        <f>((INT(N54)-INT(L54))*3)-(((L54-INT(L54))*10) - ((N54-INT(N54))*10))</f>
        <v>4.9999999999999929</v>
      </c>
      <c r="P54">
        <f t="shared" si="6"/>
        <v>0</v>
      </c>
      <c r="Q54">
        <f t="shared" si="9"/>
        <v>1</v>
      </c>
      <c r="R54">
        <f t="shared" si="10"/>
        <v>0</v>
      </c>
    </row>
    <row r="55" spans="1:18" x14ac:dyDescent="0.2">
      <c r="A55">
        <v>10318</v>
      </c>
      <c r="B55">
        <v>0</v>
      </c>
      <c r="C55">
        <f t="shared" si="0"/>
        <v>0</v>
      </c>
      <c r="D55">
        <f t="shared" si="1"/>
        <v>1</v>
      </c>
      <c r="E55">
        <v>1</v>
      </c>
      <c r="F55">
        <f t="shared" si="2"/>
        <v>1</v>
      </c>
      <c r="G55">
        <f t="shared" si="3"/>
        <v>0</v>
      </c>
      <c r="H55">
        <f t="shared" si="4"/>
        <v>0</v>
      </c>
      <c r="I55">
        <f t="shared" si="5"/>
        <v>0</v>
      </c>
      <c r="J55">
        <v>0</v>
      </c>
      <c r="K55">
        <v>3.7</v>
      </c>
      <c r="L55">
        <v>9.1999999999999993</v>
      </c>
      <c r="M55">
        <v>3.7</v>
      </c>
      <c r="N55">
        <v>11</v>
      </c>
      <c r="O55" s="1">
        <f>((INT(N55)-INT(L55))*3)-(((L55-INT(L55))*10) - ((N55-INT(N55))*10))</f>
        <v>4.0000000000000071</v>
      </c>
      <c r="P55">
        <f t="shared" si="6"/>
        <v>0</v>
      </c>
      <c r="Q55">
        <f t="shared" si="9"/>
        <v>1</v>
      </c>
      <c r="R55">
        <f t="shared" si="10"/>
        <v>0</v>
      </c>
    </row>
    <row r="56" spans="1:18" x14ac:dyDescent="0.2">
      <c r="A56">
        <v>10463</v>
      </c>
      <c r="B56">
        <v>0</v>
      </c>
      <c r="C56">
        <f t="shared" si="0"/>
        <v>0</v>
      </c>
      <c r="D56">
        <f t="shared" si="1"/>
        <v>1</v>
      </c>
      <c r="E56">
        <v>3</v>
      </c>
      <c r="F56">
        <f t="shared" si="2"/>
        <v>0</v>
      </c>
      <c r="G56">
        <f t="shared" si="3"/>
        <v>0</v>
      </c>
      <c r="H56">
        <f t="shared" si="4"/>
        <v>1</v>
      </c>
      <c r="I56">
        <f t="shared" si="5"/>
        <v>0</v>
      </c>
      <c r="J56">
        <v>0</v>
      </c>
      <c r="K56">
        <v>2</v>
      </c>
      <c r="L56">
        <v>8.1999999999999993</v>
      </c>
      <c r="M56">
        <v>2.2999999999999998</v>
      </c>
      <c r="N56">
        <v>10</v>
      </c>
      <c r="O56" s="1">
        <f>((INT(N56)-INT(L56))*3)-(((L56-INT(L56))*10) - ((N56-INT(N56))*10))</f>
        <v>4.0000000000000071</v>
      </c>
      <c r="P56">
        <f t="shared" si="6"/>
        <v>0</v>
      </c>
      <c r="Q56">
        <f t="shared" si="9"/>
        <v>1</v>
      </c>
      <c r="R56">
        <f t="shared" si="10"/>
        <v>0</v>
      </c>
    </row>
    <row r="57" spans="1:18" x14ac:dyDescent="0.2">
      <c r="A57">
        <v>10692</v>
      </c>
      <c r="B57">
        <v>0</v>
      </c>
      <c r="C57">
        <f t="shared" si="0"/>
        <v>0</v>
      </c>
      <c r="D57">
        <f t="shared" si="1"/>
        <v>1</v>
      </c>
      <c r="E57">
        <v>4</v>
      </c>
      <c r="F57">
        <f t="shared" si="2"/>
        <v>0</v>
      </c>
      <c r="G57">
        <f t="shared" si="3"/>
        <v>0</v>
      </c>
      <c r="H57">
        <f t="shared" si="4"/>
        <v>0</v>
      </c>
      <c r="I57">
        <f t="shared" si="5"/>
        <v>1</v>
      </c>
      <c r="J57">
        <v>1</v>
      </c>
      <c r="K57">
        <v>4.3</v>
      </c>
      <c r="L57">
        <v>8</v>
      </c>
      <c r="M57">
        <v>4</v>
      </c>
      <c r="N57">
        <v>9.1</v>
      </c>
      <c r="O57" s="1">
        <f>((INT(N57)-INT(L57))*3)-(((L57-INT(L57))*10) - ((N57-INT(N57))*10))</f>
        <v>3.9999999999999964</v>
      </c>
      <c r="P57">
        <f t="shared" si="6"/>
        <v>0</v>
      </c>
      <c r="Q57">
        <f t="shared" si="9"/>
        <v>1</v>
      </c>
      <c r="R57">
        <f t="shared" si="10"/>
        <v>0</v>
      </c>
    </row>
    <row r="58" spans="1:18" x14ac:dyDescent="0.2">
      <c r="A58">
        <v>10942</v>
      </c>
      <c r="B58">
        <v>0</v>
      </c>
      <c r="C58">
        <f t="shared" si="0"/>
        <v>0</v>
      </c>
      <c r="D58">
        <f t="shared" si="1"/>
        <v>1</v>
      </c>
      <c r="E58">
        <v>1</v>
      </c>
      <c r="F58">
        <f t="shared" si="2"/>
        <v>1</v>
      </c>
      <c r="G58">
        <f t="shared" si="3"/>
        <v>0</v>
      </c>
      <c r="H58">
        <f t="shared" si="4"/>
        <v>0</v>
      </c>
      <c r="I58">
        <f t="shared" si="5"/>
        <v>0</v>
      </c>
      <c r="J58">
        <v>0</v>
      </c>
      <c r="K58">
        <v>3.3</v>
      </c>
      <c r="L58">
        <v>8.1999999999999993</v>
      </c>
      <c r="M58">
        <v>2</v>
      </c>
      <c r="N58">
        <v>10.1</v>
      </c>
      <c r="O58" s="1">
        <f>((INT(N58)-INT(L58))*3)-(((L58-INT(L58))*10) - ((N58-INT(N58))*10))</f>
        <v>5.0000000000000036</v>
      </c>
      <c r="P58">
        <f t="shared" si="6"/>
        <v>0</v>
      </c>
      <c r="Q58">
        <f t="shared" si="9"/>
        <v>1</v>
      </c>
      <c r="R58">
        <f t="shared" si="10"/>
        <v>0</v>
      </c>
    </row>
    <row r="59" spans="1:18" x14ac:dyDescent="0.2">
      <c r="A59">
        <v>11301</v>
      </c>
      <c r="B59">
        <v>0</v>
      </c>
      <c r="C59">
        <f t="shared" si="0"/>
        <v>0</v>
      </c>
      <c r="D59">
        <f t="shared" si="1"/>
        <v>1</v>
      </c>
      <c r="E59">
        <v>4</v>
      </c>
      <c r="F59">
        <f t="shared" si="2"/>
        <v>0</v>
      </c>
      <c r="G59">
        <f t="shared" si="3"/>
        <v>0</v>
      </c>
      <c r="H59">
        <f t="shared" si="4"/>
        <v>0</v>
      </c>
      <c r="I59">
        <f t="shared" si="5"/>
        <v>1</v>
      </c>
      <c r="J59">
        <v>1</v>
      </c>
      <c r="K59">
        <v>2</v>
      </c>
      <c r="L59">
        <v>10</v>
      </c>
      <c r="M59">
        <v>4</v>
      </c>
      <c r="N59">
        <v>11.2</v>
      </c>
      <c r="O59" s="1">
        <f>((INT(N59)-INT(L59))*3)-(((L59-INT(L59))*10) - ((N59-INT(N59))*10))</f>
        <v>4.9999999999999929</v>
      </c>
      <c r="P59">
        <f t="shared" si="6"/>
        <v>0</v>
      </c>
      <c r="Q59">
        <f t="shared" si="9"/>
        <v>1</v>
      </c>
      <c r="R59">
        <f t="shared" si="10"/>
        <v>0</v>
      </c>
    </row>
    <row r="60" spans="1:18" x14ac:dyDescent="0.2">
      <c r="A60">
        <v>12432</v>
      </c>
      <c r="B60">
        <v>0</v>
      </c>
      <c r="C60">
        <f t="shared" si="0"/>
        <v>0</v>
      </c>
      <c r="D60">
        <f t="shared" si="1"/>
        <v>1</v>
      </c>
      <c r="E60">
        <v>1</v>
      </c>
      <c r="F60">
        <f t="shared" si="2"/>
        <v>1</v>
      </c>
      <c r="G60">
        <f t="shared" si="3"/>
        <v>0</v>
      </c>
      <c r="H60">
        <f t="shared" si="4"/>
        <v>0</v>
      </c>
      <c r="I60">
        <f t="shared" si="5"/>
        <v>0</v>
      </c>
      <c r="J60">
        <v>1</v>
      </c>
      <c r="K60">
        <v>3.3</v>
      </c>
      <c r="L60">
        <v>10.199999999999999</v>
      </c>
      <c r="M60">
        <v>3</v>
      </c>
      <c r="N60">
        <v>12</v>
      </c>
      <c r="O60" s="1">
        <f>((INT(N60)-INT(L60))*3)-(((L60-INT(L60))*10) - ((N60-INT(N60))*10))</f>
        <v>4.0000000000000071</v>
      </c>
      <c r="P60">
        <f t="shared" si="6"/>
        <v>0</v>
      </c>
      <c r="Q60">
        <f t="shared" si="9"/>
        <v>1</v>
      </c>
      <c r="R60">
        <f t="shared" si="10"/>
        <v>0</v>
      </c>
    </row>
    <row r="61" spans="1:18" x14ac:dyDescent="0.2">
      <c r="A61">
        <v>12661</v>
      </c>
      <c r="B61">
        <v>0</v>
      </c>
      <c r="C61">
        <f t="shared" si="0"/>
        <v>0</v>
      </c>
      <c r="D61">
        <f t="shared" si="1"/>
        <v>1</v>
      </c>
      <c r="E61">
        <v>2</v>
      </c>
      <c r="F61">
        <f t="shared" si="2"/>
        <v>0</v>
      </c>
      <c r="G61">
        <f t="shared" si="3"/>
        <v>1</v>
      </c>
      <c r="H61">
        <f t="shared" si="4"/>
        <v>0</v>
      </c>
      <c r="I61">
        <f t="shared" si="5"/>
        <v>0</v>
      </c>
      <c r="J61">
        <v>0</v>
      </c>
      <c r="K61">
        <v>2</v>
      </c>
      <c r="L61">
        <v>5.2</v>
      </c>
      <c r="M61">
        <v>2.7</v>
      </c>
      <c r="N61">
        <v>8</v>
      </c>
      <c r="O61" s="1">
        <f>((INT(N61)-INT(L61))*3)-(((L61-INT(L61))*10) - ((N61-INT(N61))*10))</f>
        <v>6.9999999999999982</v>
      </c>
      <c r="P61">
        <f t="shared" si="6"/>
        <v>0</v>
      </c>
      <c r="Q61">
        <f t="shared" si="9"/>
        <v>0</v>
      </c>
      <c r="R61">
        <f t="shared" si="10"/>
        <v>1</v>
      </c>
    </row>
    <row r="62" spans="1:18" x14ac:dyDescent="0.2">
      <c r="A62">
        <v>12667</v>
      </c>
      <c r="B62">
        <v>0</v>
      </c>
      <c r="C62">
        <f t="shared" si="0"/>
        <v>0</v>
      </c>
      <c r="D62">
        <f t="shared" si="1"/>
        <v>1</v>
      </c>
      <c r="E62">
        <v>4</v>
      </c>
      <c r="F62">
        <f t="shared" si="2"/>
        <v>0</v>
      </c>
      <c r="G62">
        <f t="shared" si="3"/>
        <v>0</v>
      </c>
      <c r="H62">
        <f t="shared" si="4"/>
        <v>0</v>
      </c>
      <c r="I62">
        <f t="shared" si="5"/>
        <v>1</v>
      </c>
      <c r="J62">
        <v>0</v>
      </c>
      <c r="K62">
        <v>3</v>
      </c>
      <c r="L62">
        <v>4.2</v>
      </c>
      <c r="M62">
        <v>3</v>
      </c>
      <c r="N62">
        <v>6</v>
      </c>
      <c r="O62" s="1">
        <f>((INT(N62)-INT(L62))*3)-(((L62-INT(L62))*10) - ((N62-INT(N62))*10))</f>
        <v>3.9999999999999982</v>
      </c>
      <c r="P62">
        <f t="shared" si="6"/>
        <v>0</v>
      </c>
      <c r="Q62">
        <f t="shared" si="9"/>
        <v>1</v>
      </c>
      <c r="R62">
        <f t="shared" si="10"/>
        <v>0</v>
      </c>
    </row>
    <row r="63" spans="1:18" x14ac:dyDescent="0.2">
      <c r="A63">
        <v>12727</v>
      </c>
      <c r="B63">
        <v>0</v>
      </c>
      <c r="C63">
        <f t="shared" si="0"/>
        <v>0</v>
      </c>
      <c r="D63">
        <f t="shared" si="1"/>
        <v>1</v>
      </c>
      <c r="E63">
        <v>1</v>
      </c>
      <c r="F63">
        <f t="shared" si="2"/>
        <v>1</v>
      </c>
      <c r="G63">
        <f t="shared" si="3"/>
        <v>0</v>
      </c>
      <c r="H63">
        <f t="shared" si="4"/>
        <v>0</v>
      </c>
      <c r="I63">
        <f t="shared" si="5"/>
        <v>0</v>
      </c>
      <c r="J63">
        <v>0</v>
      </c>
      <c r="K63">
        <v>2</v>
      </c>
      <c r="L63">
        <v>3.2</v>
      </c>
      <c r="M63">
        <v>2</v>
      </c>
      <c r="N63">
        <v>6.1</v>
      </c>
      <c r="O63" s="1">
        <f>((INT(N63)-INT(L63))*3)-(((L63-INT(L63))*10) - ((N63-INT(N63))*10))</f>
        <v>7.9999999999999947</v>
      </c>
      <c r="P63">
        <f t="shared" si="6"/>
        <v>0</v>
      </c>
      <c r="Q63">
        <f t="shared" si="9"/>
        <v>0</v>
      </c>
      <c r="R63">
        <f t="shared" si="10"/>
        <v>1</v>
      </c>
    </row>
    <row r="64" spans="1:18" x14ac:dyDescent="0.2">
      <c r="A64">
        <v>12849</v>
      </c>
      <c r="B64">
        <v>0</v>
      </c>
      <c r="C64">
        <f t="shared" si="0"/>
        <v>0</v>
      </c>
      <c r="D64">
        <f t="shared" si="1"/>
        <v>1</v>
      </c>
      <c r="E64">
        <v>1</v>
      </c>
      <c r="F64">
        <f t="shared" si="2"/>
        <v>1</v>
      </c>
      <c r="G64">
        <f t="shared" si="3"/>
        <v>0</v>
      </c>
      <c r="H64">
        <f t="shared" si="4"/>
        <v>0</v>
      </c>
      <c r="I64">
        <f t="shared" si="5"/>
        <v>0</v>
      </c>
      <c r="J64">
        <v>0</v>
      </c>
      <c r="K64">
        <v>2.2999999999999998</v>
      </c>
      <c r="L64">
        <v>11</v>
      </c>
      <c r="M64">
        <v>4</v>
      </c>
      <c r="N64">
        <v>12</v>
      </c>
      <c r="O64" s="1">
        <f>((INT(N64)-INT(L64))*3)-(((L64-INT(L64))*10) - ((N64-INT(N64))*10))</f>
        <v>3</v>
      </c>
      <c r="P64">
        <f t="shared" si="6"/>
        <v>1</v>
      </c>
      <c r="Q64">
        <f t="shared" si="9"/>
        <v>0</v>
      </c>
      <c r="R64">
        <f t="shared" si="10"/>
        <v>0</v>
      </c>
    </row>
    <row r="65" spans="1:18" x14ac:dyDescent="0.2">
      <c r="A65">
        <v>13166</v>
      </c>
      <c r="B65">
        <v>0</v>
      </c>
      <c r="C65">
        <f t="shared" si="0"/>
        <v>0</v>
      </c>
      <c r="D65">
        <f t="shared" si="1"/>
        <v>1</v>
      </c>
      <c r="E65">
        <v>1</v>
      </c>
      <c r="F65">
        <f t="shared" si="2"/>
        <v>1</v>
      </c>
      <c r="G65">
        <f t="shared" si="3"/>
        <v>0</v>
      </c>
      <c r="H65">
        <f t="shared" si="4"/>
        <v>0</v>
      </c>
      <c r="I65">
        <f t="shared" si="5"/>
        <v>0</v>
      </c>
      <c r="J65">
        <v>0</v>
      </c>
      <c r="K65">
        <v>3</v>
      </c>
      <c r="L65">
        <v>7</v>
      </c>
      <c r="M65">
        <v>3.3</v>
      </c>
      <c r="N65">
        <v>9.1999999999999993</v>
      </c>
      <c r="O65" s="1">
        <f>((INT(N65)-INT(L65))*3)-(((L65-INT(L65))*10) - ((N65-INT(N65))*10))</f>
        <v>7.9999999999999929</v>
      </c>
      <c r="P65">
        <f t="shared" si="6"/>
        <v>0</v>
      </c>
      <c r="Q65">
        <f t="shared" si="9"/>
        <v>0</v>
      </c>
      <c r="R65">
        <f t="shared" si="10"/>
        <v>1</v>
      </c>
    </row>
    <row r="66" spans="1:18" x14ac:dyDescent="0.2">
      <c r="A66">
        <v>13384</v>
      </c>
      <c r="B66">
        <v>0</v>
      </c>
      <c r="C66">
        <f t="shared" si="0"/>
        <v>0</v>
      </c>
      <c r="D66">
        <f t="shared" si="1"/>
        <v>1</v>
      </c>
      <c r="E66">
        <v>4</v>
      </c>
      <c r="F66">
        <f t="shared" si="2"/>
        <v>0</v>
      </c>
      <c r="G66">
        <f t="shared" si="3"/>
        <v>0</v>
      </c>
      <c r="H66">
        <f t="shared" si="4"/>
        <v>0</v>
      </c>
      <c r="I66">
        <f t="shared" si="5"/>
        <v>1</v>
      </c>
      <c r="J66">
        <v>1</v>
      </c>
      <c r="K66">
        <v>4</v>
      </c>
      <c r="L66">
        <v>7.2</v>
      </c>
      <c r="M66">
        <v>4</v>
      </c>
      <c r="N66">
        <v>9</v>
      </c>
      <c r="O66" s="1">
        <f>((INT(N66)-INT(L66))*3)-(((L66-INT(L66))*10) - ((N66-INT(N66))*10))</f>
        <v>3.9999999999999982</v>
      </c>
      <c r="P66">
        <f t="shared" si="6"/>
        <v>0</v>
      </c>
      <c r="Q66">
        <f t="shared" si="9"/>
        <v>1</v>
      </c>
      <c r="R66">
        <f t="shared" si="10"/>
        <v>0</v>
      </c>
    </row>
    <row r="67" spans="1:18" x14ac:dyDescent="0.2">
      <c r="A67">
        <v>13573</v>
      </c>
      <c r="B67">
        <v>0</v>
      </c>
      <c r="C67">
        <f t="shared" ref="C67:C130" si="11">IF(B67=1,1,0)</f>
        <v>0</v>
      </c>
      <c r="D67">
        <f t="shared" ref="D67:D130" si="12">IF(B67=0,1,0)</f>
        <v>1</v>
      </c>
      <c r="E67">
        <v>1</v>
      </c>
      <c r="F67">
        <f t="shared" ref="F67:F130" si="13">IF(E67=1,1,0)</f>
        <v>1</v>
      </c>
      <c r="G67">
        <f t="shared" ref="G67:G130" si="14">IF(E67=2,1,0)</f>
        <v>0</v>
      </c>
      <c r="H67">
        <f t="shared" ref="H67:H130" si="15">IF(E67=3,1,0)</f>
        <v>0</v>
      </c>
      <c r="I67">
        <f t="shared" ref="I67:I130" si="16">IF(E67=4,1,0)</f>
        <v>0</v>
      </c>
      <c r="J67">
        <v>0</v>
      </c>
      <c r="K67">
        <v>2.2999999999999998</v>
      </c>
      <c r="L67">
        <v>8.1</v>
      </c>
      <c r="M67">
        <v>3.3</v>
      </c>
      <c r="N67">
        <v>9.1999999999999993</v>
      </c>
      <c r="O67" s="1">
        <f>((INT(N67)-INT(L67))*3)-(((L67-INT(L67))*10) - ((N67-INT(N67))*10))</f>
        <v>3.9999999999999964</v>
      </c>
      <c r="P67">
        <f t="shared" ref="P67:P130" si="17">IF(O67&lt;4,1,0)</f>
        <v>0</v>
      </c>
      <c r="Q67">
        <f t="shared" si="9"/>
        <v>1</v>
      </c>
      <c r="R67">
        <f t="shared" si="10"/>
        <v>0</v>
      </c>
    </row>
    <row r="68" spans="1:18" x14ac:dyDescent="0.2">
      <c r="A68">
        <v>13892</v>
      </c>
      <c r="B68">
        <v>0</v>
      </c>
      <c r="C68">
        <f t="shared" si="11"/>
        <v>0</v>
      </c>
      <c r="D68">
        <f t="shared" si="12"/>
        <v>1</v>
      </c>
      <c r="E68">
        <v>4</v>
      </c>
      <c r="F68">
        <f t="shared" si="13"/>
        <v>0</v>
      </c>
      <c r="G68">
        <f t="shared" si="14"/>
        <v>0</v>
      </c>
      <c r="H68">
        <f t="shared" si="15"/>
        <v>0</v>
      </c>
      <c r="I68">
        <f t="shared" si="16"/>
        <v>1</v>
      </c>
      <c r="J68">
        <v>0</v>
      </c>
      <c r="K68">
        <v>4.3</v>
      </c>
      <c r="L68">
        <v>6</v>
      </c>
      <c r="M68">
        <v>4.3</v>
      </c>
      <c r="N68">
        <v>7</v>
      </c>
      <c r="O68" s="1">
        <f>((INT(N68)-INT(L68))*3)-(((L68-INT(L68))*10) - ((N68-INT(N68))*10))</f>
        <v>3</v>
      </c>
      <c r="P68">
        <f t="shared" si="17"/>
        <v>1</v>
      </c>
      <c r="Q68">
        <f t="shared" si="9"/>
        <v>0</v>
      </c>
      <c r="R68">
        <f t="shared" si="10"/>
        <v>0</v>
      </c>
    </row>
    <row r="69" spans="1:18" x14ac:dyDescent="0.2">
      <c r="A69">
        <v>14296</v>
      </c>
      <c r="B69">
        <v>0</v>
      </c>
      <c r="C69">
        <f t="shared" si="11"/>
        <v>0</v>
      </c>
      <c r="D69">
        <f t="shared" si="12"/>
        <v>1</v>
      </c>
      <c r="E69">
        <v>1</v>
      </c>
      <c r="F69">
        <f t="shared" si="13"/>
        <v>1</v>
      </c>
      <c r="G69">
        <f t="shared" si="14"/>
        <v>0</v>
      </c>
      <c r="H69">
        <f t="shared" si="15"/>
        <v>0</v>
      </c>
      <c r="I69">
        <f t="shared" si="16"/>
        <v>0</v>
      </c>
      <c r="J69">
        <v>0</v>
      </c>
      <c r="K69">
        <v>3.7</v>
      </c>
      <c r="L69">
        <v>10.199999999999999</v>
      </c>
      <c r="M69">
        <v>3.7</v>
      </c>
      <c r="N69">
        <v>12.2</v>
      </c>
      <c r="O69" s="1">
        <f>((INT(N69)-INT(L69))*3)-(((L69-INT(L69))*10) - ((N69-INT(N69))*10))</f>
        <v>6</v>
      </c>
      <c r="P69">
        <f t="shared" si="17"/>
        <v>0</v>
      </c>
      <c r="Q69">
        <f t="shared" si="9"/>
        <v>0</v>
      </c>
      <c r="R69">
        <f t="shared" si="10"/>
        <v>1</v>
      </c>
    </row>
    <row r="70" spans="1:18" x14ac:dyDescent="0.2">
      <c r="A70">
        <v>14811</v>
      </c>
      <c r="B70">
        <v>0</v>
      </c>
      <c r="C70">
        <f t="shared" si="11"/>
        <v>0</v>
      </c>
      <c r="D70">
        <f t="shared" si="12"/>
        <v>1</v>
      </c>
      <c r="E70">
        <v>4</v>
      </c>
      <c r="F70">
        <f t="shared" si="13"/>
        <v>0</v>
      </c>
      <c r="G70">
        <f t="shared" si="14"/>
        <v>0</v>
      </c>
      <c r="H70">
        <f t="shared" si="15"/>
        <v>0</v>
      </c>
      <c r="I70">
        <f t="shared" si="16"/>
        <v>1</v>
      </c>
      <c r="J70">
        <v>1</v>
      </c>
      <c r="K70">
        <v>2</v>
      </c>
      <c r="L70">
        <v>11</v>
      </c>
      <c r="M70">
        <v>2</v>
      </c>
      <c r="N70">
        <v>12.1</v>
      </c>
      <c r="O70" s="1">
        <f>((INT(N70)-INT(L70))*3)-(((L70-INT(L70))*10) - ((N70-INT(N70))*10))</f>
        <v>3.9999999999999964</v>
      </c>
      <c r="P70">
        <f t="shared" si="17"/>
        <v>0</v>
      </c>
      <c r="Q70">
        <f t="shared" si="9"/>
        <v>1</v>
      </c>
      <c r="R70">
        <f t="shared" si="10"/>
        <v>0</v>
      </c>
    </row>
    <row r="71" spans="1:18" x14ac:dyDescent="0.2">
      <c r="A71">
        <v>15771</v>
      </c>
      <c r="B71">
        <v>0</v>
      </c>
      <c r="C71">
        <f t="shared" si="11"/>
        <v>0</v>
      </c>
      <c r="D71">
        <f t="shared" si="12"/>
        <v>1</v>
      </c>
      <c r="E71">
        <v>4</v>
      </c>
      <c r="F71">
        <f t="shared" si="13"/>
        <v>0</v>
      </c>
      <c r="G71">
        <f t="shared" si="14"/>
        <v>0</v>
      </c>
      <c r="H71">
        <f t="shared" si="15"/>
        <v>0</v>
      </c>
      <c r="I71">
        <f t="shared" si="16"/>
        <v>1</v>
      </c>
      <c r="J71">
        <v>0</v>
      </c>
      <c r="K71">
        <v>3</v>
      </c>
      <c r="L71">
        <v>6.2</v>
      </c>
      <c r="M71">
        <v>3.3</v>
      </c>
      <c r="N71">
        <v>8.1</v>
      </c>
      <c r="O71" s="1">
        <f>((INT(N71)-INT(L71))*3)-(((L71-INT(L71))*10) - ((N71-INT(N71))*10))</f>
        <v>4.9999999999999947</v>
      </c>
      <c r="P71">
        <f t="shared" si="17"/>
        <v>0</v>
      </c>
      <c r="Q71">
        <f t="shared" si="9"/>
        <v>1</v>
      </c>
      <c r="R71">
        <f t="shared" si="10"/>
        <v>0</v>
      </c>
    </row>
    <row r="72" spans="1:18" x14ac:dyDescent="0.2">
      <c r="A72">
        <v>16271</v>
      </c>
      <c r="B72">
        <v>0</v>
      </c>
      <c r="C72">
        <f t="shared" si="11"/>
        <v>0</v>
      </c>
      <c r="D72">
        <f t="shared" si="12"/>
        <v>1</v>
      </c>
      <c r="E72">
        <v>1</v>
      </c>
      <c r="F72">
        <f t="shared" si="13"/>
        <v>1</v>
      </c>
      <c r="G72">
        <f t="shared" si="14"/>
        <v>0</v>
      </c>
      <c r="H72">
        <f t="shared" si="15"/>
        <v>0</v>
      </c>
      <c r="I72">
        <f t="shared" si="16"/>
        <v>0</v>
      </c>
      <c r="J72">
        <v>1</v>
      </c>
      <c r="K72">
        <v>3.3</v>
      </c>
      <c r="L72">
        <v>11</v>
      </c>
      <c r="M72">
        <v>2</v>
      </c>
      <c r="N72">
        <v>12.1</v>
      </c>
      <c r="O72" s="1">
        <f>((INT(N72)-INT(L72))*3)-(((L72-INT(L72))*10) - ((N72-INT(N72))*10))</f>
        <v>3.9999999999999964</v>
      </c>
      <c r="P72">
        <f t="shared" si="17"/>
        <v>0</v>
      </c>
      <c r="Q72">
        <f t="shared" si="9"/>
        <v>1</v>
      </c>
      <c r="R72">
        <f t="shared" si="10"/>
        <v>0</v>
      </c>
    </row>
    <row r="73" spans="1:18" x14ac:dyDescent="0.2">
      <c r="A73">
        <v>16551</v>
      </c>
      <c r="B73">
        <v>0</v>
      </c>
      <c r="C73">
        <f t="shared" si="11"/>
        <v>0</v>
      </c>
      <c r="D73">
        <f t="shared" si="12"/>
        <v>1</v>
      </c>
      <c r="E73">
        <v>4</v>
      </c>
      <c r="F73">
        <f t="shared" si="13"/>
        <v>0</v>
      </c>
      <c r="G73">
        <f t="shared" si="14"/>
        <v>0</v>
      </c>
      <c r="H73">
        <f t="shared" si="15"/>
        <v>0</v>
      </c>
      <c r="I73">
        <f t="shared" si="16"/>
        <v>1</v>
      </c>
      <c r="J73">
        <v>1</v>
      </c>
      <c r="K73">
        <v>2.2999999999999998</v>
      </c>
      <c r="L73">
        <v>8.1999999999999993</v>
      </c>
      <c r="M73">
        <v>3</v>
      </c>
      <c r="N73">
        <v>10.199999999999999</v>
      </c>
      <c r="O73" s="1">
        <f>((INT(N73)-INT(L73))*3)-(((L73-INT(L73))*10) - ((N73-INT(N73))*10))</f>
        <v>6</v>
      </c>
      <c r="P73">
        <f t="shared" si="17"/>
        <v>0</v>
      </c>
      <c r="Q73">
        <f t="shared" si="9"/>
        <v>0</v>
      </c>
      <c r="R73">
        <f t="shared" si="10"/>
        <v>1</v>
      </c>
    </row>
    <row r="74" spans="1:18" x14ac:dyDescent="0.2">
      <c r="A74">
        <v>16561</v>
      </c>
      <c r="B74">
        <v>0</v>
      </c>
      <c r="C74">
        <f t="shared" si="11"/>
        <v>0</v>
      </c>
      <c r="D74">
        <f t="shared" si="12"/>
        <v>1</v>
      </c>
      <c r="E74">
        <v>1</v>
      </c>
      <c r="F74">
        <f t="shared" si="13"/>
        <v>1</v>
      </c>
      <c r="G74">
        <f t="shared" si="14"/>
        <v>0</v>
      </c>
      <c r="H74">
        <f t="shared" si="15"/>
        <v>0</v>
      </c>
      <c r="I74">
        <f t="shared" si="16"/>
        <v>0</v>
      </c>
      <c r="J74">
        <v>0</v>
      </c>
      <c r="K74">
        <v>3.7</v>
      </c>
      <c r="L74">
        <v>10</v>
      </c>
      <c r="M74">
        <v>3.7</v>
      </c>
      <c r="N74">
        <v>11</v>
      </c>
      <c r="O74" s="1">
        <f>((INT(N74)-INT(L74))*3)-(((L74-INT(L74))*10) - ((N74-INT(N74))*10))</f>
        <v>3</v>
      </c>
      <c r="P74">
        <f t="shared" si="17"/>
        <v>1</v>
      </c>
      <c r="Q74">
        <f t="shared" si="9"/>
        <v>0</v>
      </c>
      <c r="R74">
        <f t="shared" si="10"/>
        <v>0</v>
      </c>
    </row>
    <row r="75" spans="1:18" x14ac:dyDescent="0.2">
      <c r="A75">
        <v>16651</v>
      </c>
      <c r="B75">
        <v>0</v>
      </c>
      <c r="C75">
        <f t="shared" si="11"/>
        <v>0</v>
      </c>
      <c r="D75">
        <f t="shared" si="12"/>
        <v>1</v>
      </c>
      <c r="E75">
        <v>1</v>
      </c>
      <c r="F75">
        <f t="shared" si="13"/>
        <v>1</v>
      </c>
      <c r="G75">
        <f t="shared" si="14"/>
        <v>0</v>
      </c>
      <c r="H75">
        <f t="shared" si="15"/>
        <v>0</v>
      </c>
      <c r="I75">
        <f t="shared" si="16"/>
        <v>0</v>
      </c>
      <c r="J75">
        <v>0</v>
      </c>
      <c r="K75">
        <v>2.7</v>
      </c>
      <c r="L75">
        <v>6</v>
      </c>
      <c r="M75">
        <v>4</v>
      </c>
      <c r="N75">
        <v>8</v>
      </c>
      <c r="O75" s="1">
        <f>((INT(N75)-INT(L75))*3)-(((L75-INT(L75))*10) - ((N75-INT(N75))*10))</f>
        <v>6</v>
      </c>
      <c r="P75">
        <f t="shared" si="17"/>
        <v>0</v>
      </c>
      <c r="Q75">
        <f t="shared" si="9"/>
        <v>0</v>
      </c>
      <c r="R75">
        <f t="shared" si="10"/>
        <v>1</v>
      </c>
    </row>
    <row r="76" spans="1:18" x14ac:dyDescent="0.2">
      <c r="A76">
        <v>16679</v>
      </c>
      <c r="B76">
        <v>0</v>
      </c>
      <c r="C76">
        <f t="shared" si="11"/>
        <v>0</v>
      </c>
      <c r="D76">
        <f t="shared" si="12"/>
        <v>1</v>
      </c>
      <c r="E76">
        <v>4</v>
      </c>
      <c r="F76">
        <f t="shared" si="13"/>
        <v>0</v>
      </c>
      <c r="G76">
        <f t="shared" si="14"/>
        <v>0</v>
      </c>
      <c r="H76">
        <f t="shared" si="15"/>
        <v>0</v>
      </c>
      <c r="I76">
        <f t="shared" si="16"/>
        <v>1</v>
      </c>
      <c r="J76">
        <v>0</v>
      </c>
      <c r="K76">
        <v>3.3</v>
      </c>
      <c r="L76">
        <v>11</v>
      </c>
      <c r="M76">
        <v>4</v>
      </c>
      <c r="N76">
        <v>12.2</v>
      </c>
      <c r="O76" s="1">
        <f>((INT(N76)-INT(L76))*3)-(((L76-INT(L76))*10) - ((N76-INT(N76))*10))</f>
        <v>4.9999999999999929</v>
      </c>
      <c r="P76">
        <f t="shared" si="17"/>
        <v>0</v>
      </c>
      <c r="Q76">
        <f t="shared" si="9"/>
        <v>1</v>
      </c>
      <c r="R76">
        <f t="shared" si="10"/>
        <v>0</v>
      </c>
    </row>
    <row r="77" spans="1:18" x14ac:dyDescent="0.2">
      <c r="A77">
        <v>16954</v>
      </c>
      <c r="B77">
        <v>0</v>
      </c>
      <c r="C77">
        <f t="shared" si="11"/>
        <v>0</v>
      </c>
      <c r="D77">
        <f t="shared" si="12"/>
        <v>1</v>
      </c>
      <c r="E77">
        <v>1</v>
      </c>
      <c r="F77">
        <f t="shared" si="13"/>
        <v>1</v>
      </c>
      <c r="G77">
        <f t="shared" si="14"/>
        <v>0</v>
      </c>
      <c r="H77">
        <f t="shared" si="15"/>
        <v>0</v>
      </c>
      <c r="I77">
        <f t="shared" si="16"/>
        <v>0</v>
      </c>
      <c r="J77">
        <v>1</v>
      </c>
      <c r="K77">
        <v>2.2999999999999998</v>
      </c>
      <c r="L77">
        <v>10.199999999999999</v>
      </c>
      <c r="M77">
        <v>3</v>
      </c>
      <c r="N77">
        <v>12</v>
      </c>
      <c r="O77" s="1">
        <f>((INT(N77)-INT(L77))*3)-(((L77-INT(L77))*10) - ((N77-INT(N77))*10))</f>
        <v>4.0000000000000071</v>
      </c>
      <c r="P77">
        <f t="shared" si="17"/>
        <v>0</v>
      </c>
      <c r="Q77">
        <f t="shared" si="9"/>
        <v>1</v>
      </c>
      <c r="R77">
        <f t="shared" si="10"/>
        <v>0</v>
      </c>
    </row>
    <row r="78" spans="1:18" x14ac:dyDescent="0.2">
      <c r="A78">
        <v>17092</v>
      </c>
      <c r="B78">
        <v>0</v>
      </c>
      <c r="C78">
        <f t="shared" si="11"/>
        <v>0</v>
      </c>
      <c r="D78">
        <f t="shared" si="12"/>
        <v>1</v>
      </c>
      <c r="E78">
        <v>1</v>
      </c>
      <c r="F78">
        <f t="shared" si="13"/>
        <v>1</v>
      </c>
      <c r="G78">
        <f t="shared" si="14"/>
        <v>0</v>
      </c>
      <c r="H78">
        <f t="shared" si="15"/>
        <v>0</v>
      </c>
      <c r="I78">
        <f t="shared" si="16"/>
        <v>0</v>
      </c>
      <c r="J78">
        <v>0</v>
      </c>
      <c r="K78">
        <v>2.7</v>
      </c>
      <c r="L78">
        <v>7.1</v>
      </c>
      <c r="M78">
        <v>2.2999999999999998</v>
      </c>
      <c r="N78">
        <v>9.1999999999999993</v>
      </c>
      <c r="O78" s="1">
        <f>((INT(N78)-INT(L78))*3)-(((L78-INT(L78))*10) - ((N78-INT(N78))*10))</f>
        <v>6.9999999999999964</v>
      </c>
      <c r="P78">
        <f t="shared" si="17"/>
        <v>0</v>
      </c>
      <c r="Q78">
        <f t="shared" si="9"/>
        <v>0</v>
      </c>
      <c r="R78">
        <f t="shared" si="10"/>
        <v>1</v>
      </c>
    </row>
    <row r="79" spans="1:18" x14ac:dyDescent="0.2">
      <c r="A79">
        <v>17306</v>
      </c>
      <c r="B79">
        <v>0</v>
      </c>
      <c r="C79">
        <f t="shared" si="11"/>
        <v>0</v>
      </c>
      <c r="D79">
        <f t="shared" si="12"/>
        <v>1</v>
      </c>
      <c r="E79">
        <v>4</v>
      </c>
      <c r="F79">
        <f t="shared" si="13"/>
        <v>0</v>
      </c>
      <c r="G79">
        <f t="shared" si="14"/>
        <v>0</v>
      </c>
      <c r="H79">
        <f t="shared" si="15"/>
        <v>0</v>
      </c>
      <c r="I79">
        <f t="shared" si="16"/>
        <v>1</v>
      </c>
      <c r="J79">
        <v>0</v>
      </c>
      <c r="K79">
        <v>4.3</v>
      </c>
      <c r="L79">
        <v>10.199999999999999</v>
      </c>
      <c r="M79">
        <v>4</v>
      </c>
      <c r="N79">
        <v>12.2</v>
      </c>
      <c r="O79" s="1">
        <f>((INT(N79)-INT(L79))*3)-(((L79-INT(L79))*10) - ((N79-INT(N79))*10))</f>
        <v>6</v>
      </c>
      <c r="P79">
        <f t="shared" si="17"/>
        <v>0</v>
      </c>
      <c r="Q79">
        <f t="shared" si="9"/>
        <v>0</v>
      </c>
      <c r="R79">
        <f t="shared" si="10"/>
        <v>1</v>
      </c>
    </row>
    <row r="80" spans="1:18" x14ac:dyDescent="0.2">
      <c r="A80">
        <v>17390</v>
      </c>
      <c r="B80">
        <v>1</v>
      </c>
      <c r="C80">
        <f t="shared" si="11"/>
        <v>1</v>
      </c>
      <c r="D80">
        <f t="shared" si="12"/>
        <v>0</v>
      </c>
      <c r="E80">
        <v>1</v>
      </c>
      <c r="F80">
        <f t="shared" si="13"/>
        <v>1</v>
      </c>
      <c r="G80">
        <f t="shared" si="14"/>
        <v>0</v>
      </c>
      <c r="H80">
        <f t="shared" si="15"/>
        <v>0</v>
      </c>
      <c r="I80">
        <f t="shared" si="16"/>
        <v>0</v>
      </c>
      <c r="J80">
        <v>1</v>
      </c>
      <c r="K80">
        <v>2.2999999999999998</v>
      </c>
      <c r="L80">
        <v>7.2</v>
      </c>
      <c r="M80">
        <v>2</v>
      </c>
      <c r="N80">
        <v>10</v>
      </c>
      <c r="O80" s="1">
        <f>((INT(N80)-INT(L80))*3)-(((L80-INT(L80))*10) - ((N80-INT(N80))*10))</f>
        <v>6.9999999999999982</v>
      </c>
      <c r="P80">
        <f t="shared" si="17"/>
        <v>0</v>
      </c>
      <c r="Q80">
        <f t="shared" si="9"/>
        <v>0</v>
      </c>
      <c r="R80">
        <f t="shared" si="10"/>
        <v>1</v>
      </c>
    </row>
    <row r="81" spans="1:18" x14ac:dyDescent="0.2">
      <c r="A81">
        <v>17394</v>
      </c>
      <c r="B81">
        <v>0</v>
      </c>
      <c r="C81">
        <f t="shared" si="11"/>
        <v>0</v>
      </c>
      <c r="D81">
        <f t="shared" si="12"/>
        <v>1</v>
      </c>
      <c r="E81">
        <v>4</v>
      </c>
      <c r="F81">
        <f t="shared" si="13"/>
        <v>0</v>
      </c>
      <c r="G81">
        <f t="shared" si="14"/>
        <v>0</v>
      </c>
      <c r="H81">
        <f t="shared" si="15"/>
        <v>0</v>
      </c>
      <c r="I81">
        <f t="shared" si="16"/>
        <v>1</v>
      </c>
      <c r="J81">
        <v>0</v>
      </c>
      <c r="K81">
        <v>3</v>
      </c>
      <c r="L81">
        <v>7</v>
      </c>
      <c r="M81">
        <v>3.7</v>
      </c>
      <c r="N81">
        <v>8.1999999999999993</v>
      </c>
      <c r="O81" s="1">
        <f>((INT(N81)-INT(L81))*3)-(((L81-INT(L81))*10) - ((N81-INT(N81))*10))</f>
        <v>4.9999999999999929</v>
      </c>
      <c r="P81">
        <f t="shared" si="17"/>
        <v>0</v>
      </c>
      <c r="Q81">
        <f t="shared" si="9"/>
        <v>1</v>
      </c>
      <c r="R81">
        <f t="shared" si="10"/>
        <v>0</v>
      </c>
    </row>
    <row r="82" spans="1:18" x14ac:dyDescent="0.2">
      <c r="A82">
        <v>17528</v>
      </c>
      <c r="B82">
        <v>0</v>
      </c>
      <c r="C82">
        <f t="shared" si="11"/>
        <v>0</v>
      </c>
      <c r="D82">
        <f t="shared" si="12"/>
        <v>1</v>
      </c>
      <c r="E82">
        <v>4</v>
      </c>
      <c r="F82">
        <f t="shared" si="13"/>
        <v>0</v>
      </c>
      <c r="G82">
        <f t="shared" si="14"/>
        <v>0</v>
      </c>
      <c r="H82">
        <f t="shared" si="15"/>
        <v>0</v>
      </c>
      <c r="I82">
        <f t="shared" si="16"/>
        <v>1</v>
      </c>
      <c r="J82">
        <v>0</v>
      </c>
      <c r="K82">
        <v>4.3</v>
      </c>
      <c r="L82">
        <v>8</v>
      </c>
      <c r="M82">
        <v>4.3</v>
      </c>
      <c r="N82">
        <v>9.1999999999999993</v>
      </c>
      <c r="O82" s="1">
        <f>((INT(N82)-INT(L82))*3)-(((L82-INT(L82))*10) - ((N82-INT(N82))*10))</f>
        <v>4.9999999999999929</v>
      </c>
      <c r="P82">
        <f t="shared" si="17"/>
        <v>0</v>
      </c>
      <c r="Q82">
        <f t="shared" si="9"/>
        <v>1</v>
      </c>
      <c r="R82">
        <f t="shared" si="10"/>
        <v>0</v>
      </c>
    </row>
    <row r="83" spans="1:18" x14ac:dyDescent="0.2">
      <c r="A83">
        <v>17569</v>
      </c>
      <c r="B83">
        <v>0</v>
      </c>
      <c r="C83">
        <f t="shared" si="11"/>
        <v>0</v>
      </c>
      <c r="D83">
        <f t="shared" si="12"/>
        <v>1</v>
      </c>
      <c r="E83">
        <v>3</v>
      </c>
      <c r="F83">
        <f t="shared" si="13"/>
        <v>0</v>
      </c>
      <c r="G83">
        <f t="shared" si="14"/>
        <v>0</v>
      </c>
      <c r="H83">
        <f t="shared" si="15"/>
        <v>1</v>
      </c>
      <c r="I83">
        <f t="shared" si="16"/>
        <v>0</v>
      </c>
      <c r="J83">
        <v>0</v>
      </c>
      <c r="K83">
        <v>4</v>
      </c>
      <c r="L83">
        <v>5</v>
      </c>
      <c r="M83">
        <v>3</v>
      </c>
      <c r="N83">
        <v>8</v>
      </c>
      <c r="O83" s="1">
        <f>((INT(N83)-INT(L83))*3)-(((L83-INT(L83))*10) - ((N83-INT(N83))*10))</f>
        <v>9</v>
      </c>
      <c r="P83">
        <f t="shared" si="17"/>
        <v>0</v>
      </c>
      <c r="Q83">
        <f t="shared" si="9"/>
        <v>0</v>
      </c>
      <c r="R83">
        <f t="shared" si="10"/>
        <v>1</v>
      </c>
    </row>
    <row r="84" spans="1:18" x14ac:dyDescent="0.2">
      <c r="A84">
        <v>17580</v>
      </c>
      <c r="B84">
        <v>0</v>
      </c>
      <c r="C84">
        <f t="shared" si="11"/>
        <v>0</v>
      </c>
      <c r="D84">
        <f t="shared" si="12"/>
        <v>1</v>
      </c>
      <c r="E84">
        <v>2</v>
      </c>
      <c r="F84">
        <f t="shared" si="13"/>
        <v>0</v>
      </c>
      <c r="G84">
        <f t="shared" si="14"/>
        <v>1</v>
      </c>
      <c r="H84">
        <f t="shared" si="15"/>
        <v>0</v>
      </c>
      <c r="I84">
        <f t="shared" si="16"/>
        <v>0</v>
      </c>
      <c r="J84">
        <v>1</v>
      </c>
      <c r="K84">
        <v>2.7</v>
      </c>
      <c r="L84">
        <v>4.2</v>
      </c>
      <c r="M84">
        <v>4</v>
      </c>
      <c r="N84">
        <v>6</v>
      </c>
      <c r="O84" s="1">
        <f>((INT(N84)-INT(L84))*3)-(((L84-INT(L84))*10) - ((N84-INT(N84))*10))</f>
        <v>3.9999999999999982</v>
      </c>
      <c r="P84">
        <f t="shared" si="17"/>
        <v>0</v>
      </c>
      <c r="Q84">
        <f t="shared" si="9"/>
        <v>1</v>
      </c>
      <c r="R84">
        <f t="shared" si="10"/>
        <v>0</v>
      </c>
    </row>
    <row r="85" spans="1:18" x14ac:dyDescent="0.2">
      <c r="A85">
        <v>18102</v>
      </c>
      <c r="B85">
        <v>0</v>
      </c>
      <c r="C85">
        <f t="shared" si="11"/>
        <v>0</v>
      </c>
      <c r="D85">
        <f t="shared" si="12"/>
        <v>1</v>
      </c>
      <c r="E85">
        <v>2</v>
      </c>
      <c r="F85">
        <f t="shared" si="13"/>
        <v>0</v>
      </c>
      <c r="G85">
        <f t="shared" si="14"/>
        <v>1</v>
      </c>
      <c r="H85">
        <f t="shared" si="15"/>
        <v>0</v>
      </c>
      <c r="I85">
        <f t="shared" si="16"/>
        <v>0</v>
      </c>
      <c r="J85">
        <v>1</v>
      </c>
      <c r="K85">
        <v>2</v>
      </c>
      <c r="L85">
        <v>6</v>
      </c>
      <c r="M85">
        <v>2</v>
      </c>
      <c r="N85">
        <v>10.199999999999999</v>
      </c>
      <c r="O85" s="1">
        <f>((INT(N85)-INT(L85))*3)-(((L85-INT(L85))*10) - ((N85-INT(N85))*10))</f>
        <v>13.999999999999993</v>
      </c>
      <c r="P85">
        <f t="shared" si="17"/>
        <v>0</v>
      </c>
      <c r="Q85">
        <f t="shared" si="9"/>
        <v>0</v>
      </c>
      <c r="R85">
        <f t="shared" si="10"/>
        <v>1</v>
      </c>
    </row>
    <row r="86" spans="1:18" x14ac:dyDescent="0.2">
      <c r="A86">
        <v>18227</v>
      </c>
      <c r="B86">
        <v>0</v>
      </c>
      <c r="C86">
        <f t="shared" si="11"/>
        <v>0</v>
      </c>
      <c r="D86">
        <f t="shared" si="12"/>
        <v>1</v>
      </c>
      <c r="E86">
        <v>1</v>
      </c>
      <c r="F86">
        <f t="shared" si="13"/>
        <v>1</v>
      </c>
      <c r="G86">
        <f t="shared" si="14"/>
        <v>0</v>
      </c>
      <c r="H86">
        <f t="shared" si="15"/>
        <v>0</v>
      </c>
      <c r="I86">
        <f t="shared" si="16"/>
        <v>0</v>
      </c>
      <c r="J86">
        <v>0</v>
      </c>
      <c r="K86">
        <v>2.7</v>
      </c>
      <c r="L86">
        <v>4.2</v>
      </c>
      <c r="M86">
        <v>3.7</v>
      </c>
      <c r="N86">
        <v>6</v>
      </c>
      <c r="O86" s="1">
        <f>((INT(N86)-INT(L86))*3)-(((L86-INT(L86))*10) - ((N86-INT(N86))*10))</f>
        <v>3.9999999999999982</v>
      </c>
      <c r="P86">
        <f t="shared" si="17"/>
        <v>0</v>
      </c>
      <c r="Q86">
        <f t="shared" si="9"/>
        <v>1</v>
      </c>
      <c r="R86">
        <f t="shared" si="10"/>
        <v>0</v>
      </c>
    </row>
    <row r="87" spans="1:18" x14ac:dyDescent="0.2">
      <c r="A87">
        <v>18291</v>
      </c>
      <c r="B87">
        <v>0</v>
      </c>
      <c r="C87">
        <f t="shared" si="11"/>
        <v>0</v>
      </c>
      <c r="D87">
        <f t="shared" si="12"/>
        <v>1</v>
      </c>
      <c r="E87">
        <v>4</v>
      </c>
      <c r="F87">
        <f t="shared" si="13"/>
        <v>0</v>
      </c>
      <c r="G87">
        <f t="shared" si="14"/>
        <v>0</v>
      </c>
      <c r="H87">
        <f t="shared" si="15"/>
        <v>0</v>
      </c>
      <c r="I87">
        <f t="shared" si="16"/>
        <v>1</v>
      </c>
      <c r="J87">
        <v>0</v>
      </c>
      <c r="K87">
        <v>4.3</v>
      </c>
      <c r="L87">
        <v>7</v>
      </c>
      <c r="M87">
        <v>4.3</v>
      </c>
      <c r="N87">
        <v>8</v>
      </c>
      <c r="O87" s="1">
        <f>((INT(N87)-INT(L87))*3)-(((L87-INT(L87))*10) - ((N87-INT(N87))*10))</f>
        <v>3</v>
      </c>
      <c r="P87">
        <f t="shared" si="17"/>
        <v>1</v>
      </c>
      <c r="Q87">
        <f t="shared" ref="Q87:Q150" si="18">IF(AND(O87&gt;3,O87&lt;6),1,0)</f>
        <v>0</v>
      </c>
      <c r="R87">
        <f t="shared" ref="R87:R150" si="19">IF(O87&gt;5,1,0)</f>
        <v>0</v>
      </c>
    </row>
    <row r="88" spans="1:18" x14ac:dyDescent="0.2">
      <c r="A88">
        <v>18319</v>
      </c>
      <c r="B88">
        <v>0</v>
      </c>
      <c r="C88">
        <f t="shared" si="11"/>
        <v>0</v>
      </c>
      <c r="D88">
        <f t="shared" si="12"/>
        <v>1</v>
      </c>
      <c r="E88">
        <v>3</v>
      </c>
      <c r="F88">
        <f t="shared" si="13"/>
        <v>0</v>
      </c>
      <c r="G88">
        <f t="shared" si="14"/>
        <v>0</v>
      </c>
      <c r="H88">
        <f t="shared" si="15"/>
        <v>1</v>
      </c>
      <c r="I88">
        <f t="shared" si="16"/>
        <v>0</v>
      </c>
      <c r="J88">
        <v>0</v>
      </c>
      <c r="K88">
        <v>2</v>
      </c>
      <c r="L88">
        <v>9.1999999999999993</v>
      </c>
      <c r="M88">
        <v>2.2999999999999998</v>
      </c>
      <c r="N88">
        <v>11.2</v>
      </c>
      <c r="O88" s="1">
        <f>((INT(N88)-INT(L88))*3)-(((L88-INT(L88))*10) - ((N88-INT(N88))*10))</f>
        <v>6</v>
      </c>
      <c r="P88">
        <f t="shared" si="17"/>
        <v>0</v>
      </c>
      <c r="Q88">
        <f t="shared" si="18"/>
        <v>0</v>
      </c>
      <c r="R88">
        <f t="shared" si="19"/>
        <v>1</v>
      </c>
    </row>
    <row r="89" spans="1:18" x14ac:dyDescent="0.2">
      <c r="A89">
        <v>18615</v>
      </c>
      <c r="B89">
        <v>0</v>
      </c>
      <c r="C89">
        <f t="shared" si="11"/>
        <v>0</v>
      </c>
      <c r="D89">
        <f t="shared" si="12"/>
        <v>1</v>
      </c>
      <c r="E89">
        <v>4</v>
      </c>
      <c r="F89">
        <f t="shared" si="13"/>
        <v>0</v>
      </c>
      <c r="G89">
        <f t="shared" si="14"/>
        <v>0</v>
      </c>
      <c r="H89">
        <f t="shared" si="15"/>
        <v>0</v>
      </c>
      <c r="I89">
        <f t="shared" si="16"/>
        <v>1</v>
      </c>
      <c r="J89">
        <v>1</v>
      </c>
      <c r="K89">
        <v>3</v>
      </c>
      <c r="L89">
        <v>8.1999999999999993</v>
      </c>
      <c r="M89">
        <v>2.7</v>
      </c>
      <c r="N89">
        <v>12.2</v>
      </c>
      <c r="O89" s="1">
        <f>((INT(N89)-INT(L89))*3)-(((L89-INT(L89))*10) - ((N89-INT(N89))*10))</f>
        <v>12</v>
      </c>
      <c r="P89">
        <f t="shared" si="17"/>
        <v>0</v>
      </c>
      <c r="Q89">
        <f t="shared" si="18"/>
        <v>0</v>
      </c>
      <c r="R89">
        <f t="shared" si="19"/>
        <v>1</v>
      </c>
    </row>
    <row r="90" spans="1:18" x14ac:dyDescent="0.2">
      <c r="A90">
        <v>18661</v>
      </c>
      <c r="B90">
        <v>0</v>
      </c>
      <c r="C90">
        <f t="shared" si="11"/>
        <v>0</v>
      </c>
      <c r="D90">
        <f t="shared" si="12"/>
        <v>1</v>
      </c>
      <c r="E90">
        <v>1</v>
      </c>
      <c r="F90">
        <f t="shared" si="13"/>
        <v>1</v>
      </c>
      <c r="G90">
        <f t="shared" si="14"/>
        <v>0</v>
      </c>
      <c r="H90">
        <f t="shared" si="15"/>
        <v>0</v>
      </c>
      <c r="I90">
        <f t="shared" si="16"/>
        <v>0</v>
      </c>
      <c r="J90">
        <v>1</v>
      </c>
      <c r="K90">
        <v>3.3</v>
      </c>
      <c r="L90">
        <v>6.1</v>
      </c>
      <c r="M90">
        <v>3.7</v>
      </c>
      <c r="N90">
        <v>8.1</v>
      </c>
      <c r="O90" s="1">
        <f>((INT(N90)-INT(L90))*3)-(((L90-INT(L90))*10) - ((N90-INT(N90))*10))</f>
        <v>6</v>
      </c>
      <c r="P90">
        <f t="shared" si="17"/>
        <v>0</v>
      </c>
      <c r="Q90">
        <f t="shared" si="18"/>
        <v>0</v>
      </c>
      <c r="R90">
        <f t="shared" si="19"/>
        <v>1</v>
      </c>
    </row>
    <row r="91" spans="1:18" x14ac:dyDescent="0.2">
      <c r="A91">
        <v>18877</v>
      </c>
      <c r="B91">
        <v>0</v>
      </c>
      <c r="C91">
        <f t="shared" si="11"/>
        <v>0</v>
      </c>
      <c r="D91">
        <f t="shared" si="12"/>
        <v>1</v>
      </c>
      <c r="E91">
        <v>4</v>
      </c>
      <c r="F91">
        <f t="shared" si="13"/>
        <v>0</v>
      </c>
      <c r="G91">
        <f t="shared" si="14"/>
        <v>0</v>
      </c>
      <c r="H91">
        <f t="shared" si="15"/>
        <v>0</v>
      </c>
      <c r="I91">
        <f t="shared" si="16"/>
        <v>1</v>
      </c>
      <c r="J91">
        <v>0</v>
      </c>
      <c r="K91">
        <v>3.3</v>
      </c>
      <c r="L91">
        <v>7.2</v>
      </c>
      <c r="M91">
        <v>3.3</v>
      </c>
      <c r="N91">
        <v>9.1999999999999993</v>
      </c>
      <c r="O91" s="1">
        <f>((INT(N91)-INT(L91))*3)-(((L91-INT(L91))*10) - ((N91-INT(N91))*10))</f>
        <v>5.9999999999999911</v>
      </c>
      <c r="P91">
        <f t="shared" si="17"/>
        <v>0</v>
      </c>
      <c r="Q91">
        <v>0</v>
      </c>
      <c r="R91">
        <f t="shared" si="19"/>
        <v>1</v>
      </c>
    </row>
    <row r="92" spans="1:18" x14ac:dyDescent="0.2">
      <c r="A92">
        <v>19279</v>
      </c>
      <c r="B92">
        <v>1</v>
      </c>
      <c r="C92">
        <f t="shared" si="11"/>
        <v>1</v>
      </c>
      <c r="D92">
        <f t="shared" si="12"/>
        <v>0</v>
      </c>
      <c r="E92">
        <v>2</v>
      </c>
      <c r="F92">
        <f t="shared" si="13"/>
        <v>0</v>
      </c>
      <c r="G92">
        <f t="shared" si="14"/>
        <v>1</v>
      </c>
      <c r="H92">
        <f t="shared" si="15"/>
        <v>0</v>
      </c>
      <c r="I92">
        <f t="shared" si="16"/>
        <v>0</v>
      </c>
      <c r="J92">
        <v>0</v>
      </c>
      <c r="K92">
        <v>3</v>
      </c>
      <c r="L92">
        <v>10</v>
      </c>
      <c r="M92">
        <v>2</v>
      </c>
      <c r="N92">
        <v>11.2</v>
      </c>
      <c r="O92" s="1">
        <f>((INT(N92)-INT(L92))*3)-(((L92-INT(L92))*10) - ((N92-INT(N92))*10))</f>
        <v>4.9999999999999929</v>
      </c>
      <c r="P92">
        <f t="shared" si="17"/>
        <v>0</v>
      </c>
      <c r="Q92">
        <f t="shared" si="18"/>
        <v>1</v>
      </c>
      <c r="R92">
        <f t="shared" si="19"/>
        <v>0</v>
      </c>
    </row>
    <row r="93" spans="1:18" x14ac:dyDescent="0.2">
      <c r="A93">
        <v>19301</v>
      </c>
      <c r="B93">
        <v>0</v>
      </c>
      <c r="C93">
        <f t="shared" si="11"/>
        <v>0</v>
      </c>
      <c r="D93">
        <f t="shared" si="12"/>
        <v>1</v>
      </c>
      <c r="E93">
        <v>4</v>
      </c>
      <c r="F93">
        <f t="shared" si="13"/>
        <v>0</v>
      </c>
      <c r="G93">
        <f t="shared" si="14"/>
        <v>0</v>
      </c>
      <c r="H93">
        <f t="shared" si="15"/>
        <v>0</v>
      </c>
      <c r="I93">
        <f t="shared" si="16"/>
        <v>1</v>
      </c>
      <c r="J93">
        <v>0</v>
      </c>
      <c r="K93">
        <v>3</v>
      </c>
      <c r="L93">
        <v>6.2</v>
      </c>
      <c r="M93">
        <v>2.7</v>
      </c>
      <c r="N93">
        <v>9</v>
      </c>
      <c r="O93" s="1">
        <f>((INT(N93)-INT(L93))*3)-(((L93-INT(L93))*10) - ((N93-INT(N93))*10))</f>
        <v>6.9999999999999982</v>
      </c>
      <c r="P93">
        <f t="shared" si="17"/>
        <v>0</v>
      </c>
      <c r="Q93">
        <f t="shared" si="18"/>
        <v>0</v>
      </c>
      <c r="R93">
        <f t="shared" si="19"/>
        <v>1</v>
      </c>
    </row>
    <row r="94" spans="1:18" x14ac:dyDescent="0.2">
      <c r="A94">
        <v>19732</v>
      </c>
      <c r="B94">
        <v>0</v>
      </c>
      <c r="C94">
        <f t="shared" si="11"/>
        <v>0</v>
      </c>
      <c r="D94">
        <f t="shared" si="12"/>
        <v>1</v>
      </c>
      <c r="E94">
        <v>4</v>
      </c>
      <c r="F94">
        <f t="shared" si="13"/>
        <v>0</v>
      </c>
      <c r="G94">
        <f t="shared" si="14"/>
        <v>0</v>
      </c>
      <c r="H94">
        <f t="shared" si="15"/>
        <v>0</v>
      </c>
      <c r="I94">
        <f t="shared" si="16"/>
        <v>1</v>
      </c>
      <c r="J94">
        <v>0</v>
      </c>
      <c r="K94">
        <v>3</v>
      </c>
      <c r="L94">
        <v>11.2</v>
      </c>
      <c r="M94">
        <v>2.7</v>
      </c>
      <c r="N94">
        <v>12.2</v>
      </c>
      <c r="O94" s="1">
        <f>((INT(N94)-INT(L94))*3)-(((L94-INT(L94))*10) - ((N94-INT(N94))*10))</f>
        <v>3</v>
      </c>
      <c r="P94">
        <f t="shared" si="17"/>
        <v>1</v>
      </c>
      <c r="Q94">
        <f t="shared" si="18"/>
        <v>0</v>
      </c>
      <c r="R94">
        <f t="shared" si="19"/>
        <v>0</v>
      </c>
    </row>
    <row r="95" spans="1:18" x14ac:dyDescent="0.2">
      <c r="A95">
        <v>20319</v>
      </c>
      <c r="B95">
        <v>0</v>
      </c>
      <c r="C95">
        <f t="shared" si="11"/>
        <v>0</v>
      </c>
      <c r="D95">
        <f t="shared" si="12"/>
        <v>1</v>
      </c>
      <c r="E95">
        <v>3</v>
      </c>
      <c r="F95">
        <f t="shared" si="13"/>
        <v>0</v>
      </c>
      <c r="G95">
        <f t="shared" si="14"/>
        <v>0</v>
      </c>
      <c r="H95">
        <f t="shared" si="15"/>
        <v>1</v>
      </c>
      <c r="I95">
        <f t="shared" si="16"/>
        <v>0</v>
      </c>
      <c r="J95">
        <v>1</v>
      </c>
      <c r="K95">
        <v>2.7</v>
      </c>
      <c r="L95">
        <v>3.2</v>
      </c>
      <c r="M95">
        <v>3.7</v>
      </c>
      <c r="N95">
        <v>5.2</v>
      </c>
      <c r="O95" s="1">
        <f>((INT(N95)-INT(L95))*3)-(((L95-INT(L95))*10) - ((N95-INT(N95))*10))</f>
        <v>6</v>
      </c>
      <c r="P95">
        <f t="shared" si="17"/>
        <v>0</v>
      </c>
      <c r="Q95">
        <f t="shared" si="18"/>
        <v>0</v>
      </c>
      <c r="R95">
        <f t="shared" si="19"/>
        <v>1</v>
      </c>
    </row>
    <row r="96" spans="1:18" x14ac:dyDescent="0.2">
      <c r="A96">
        <v>20375</v>
      </c>
      <c r="B96">
        <v>0</v>
      </c>
      <c r="C96">
        <f t="shared" si="11"/>
        <v>0</v>
      </c>
      <c r="D96">
        <f t="shared" si="12"/>
        <v>1</v>
      </c>
      <c r="E96">
        <v>4</v>
      </c>
      <c r="F96">
        <f t="shared" si="13"/>
        <v>0</v>
      </c>
      <c r="G96">
        <f t="shared" si="14"/>
        <v>0</v>
      </c>
      <c r="H96">
        <f t="shared" si="15"/>
        <v>0</v>
      </c>
      <c r="I96">
        <f t="shared" si="16"/>
        <v>1</v>
      </c>
      <c r="J96">
        <v>0</v>
      </c>
      <c r="K96">
        <v>4.3</v>
      </c>
      <c r="L96">
        <v>7.2</v>
      </c>
      <c r="M96">
        <v>3.7</v>
      </c>
      <c r="N96">
        <v>11.2</v>
      </c>
      <c r="O96" s="1">
        <f>((INT(N96)-INT(L96))*3)-(((L96-INT(L96))*10) - ((N96-INT(N96))*10))</f>
        <v>11.999999999999991</v>
      </c>
      <c r="P96">
        <f t="shared" si="17"/>
        <v>0</v>
      </c>
      <c r="Q96">
        <f t="shared" si="18"/>
        <v>0</v>
      </c>
      <c r="R96">
        <f t="shared" si="19"/>
        <v>1</v>
      </c>
    </row>
    <row r="97" spans="1:18" x14ac:dyDescent="0.2">
      <c r="A97">
        <v>20676</v>
      </c>
      <c r="B97">
        <v>0</v>
      </c>
      <c r="C97">
        <f t="shared" si="11"/>
        <v>0</v>
      </c>
      <c r="D97">
        <f t="shared" si="12"/>
        <v>1</v>
      </c>
      <c r="E97">
        <v>2</v>
      </c>
      <c r="F97">
        <f t="shared" si="13"/>
        <v>0</v>
      </c>
      <c r="G97">
        <f t="shared" si="14"/>
        <v>1</v>
      </c>
      <c r="H97">
        <f t="shared" si="15"/>
        <v>0</v>
      </c>
      <c r="I97">
        <f t="shared" si="16"/>
        <v>0</v>
      </c>
      <c r="J97">
        <v>0</v>
      </c>
      <c r="K97">
        <v>2</v>
      </c>
      <c r="L97">
        <v>9.1999999999999993</v>
      </c>
      <c r="M97">
        <v>3.3</v>
      </c>
      <c r="N97">
        <v>11.2</v>
      </c>
      <c r="O97" s="1">
        <f>((INT(N97)-INT(L97))*3)-(((L97-INT(L97))*10) - ((N97-INT(N97))*10))</f>
        <v>6</v>
      </c>
      <c r="P97">
        <f t="shared" si="17"/>
        <v>0</v>
      </c>
      <c r="Q97">
        <f t="shared" si="18"/>
        <v>0</v>
      </c>
      <c r="R97">
        <f t="shared" si="19"/>
        <v>1</v>
      </c>
    </row>
    <row r="98" spans="1:18" x14ac:dyDescent="0.2">
      <c r="A98">
        <v>21299</v>
      </c>
      <c r="B98">
        <v>0</v>
      </c>
      <c r="C98">
        <f t="shared" si="11"/>
        <v>0</v>
      </c>
      <c r="D98">
        <f t="shared" si="12"/>
        <v>1</v>
      </c>
      <c r="E98">
        <v>4</v>
      </c>
      <c r="F98">
        <f t="shared" si="13"/>
        <v>0</v>
      </c>
      <c r="G98">
        <f t="shared" si="14"/>
        <v>0</v>
      </c>
      <c r="H98">
        <f t="shared" si="15"/>
        <v>0</v>
      </c>
      <c r="I98">
        <f t="shared" si="16"/>
        <v>1</v>
      </c>
      <c r="J98">
        <v>0</v>
      </c>
      <c r="K98">
        <v>2</v>
      </c>
      <c r="L98">
        <v>8</v>
      </c>
      <c r="M98">
        <v>3</v>
      </c>
      <c r="N98">
        <v>8.1999999999999993</v>
      </c>
      <c r="O98" s="1">
        <f>((INT(N98)-INT(L98))*3)-(((L98-INT(L98))*10) - ((N98-INT(N98))*10))</f>
        <v>1.9999999999999929</v>
      </c>
      <c r="P98">
        <f t="shared" si="17"/>
        <v>1</v>
      </c>
      <c r="Q98">
        <f t="shared" si="18"/>
        <v>0</v>
      </c>
      <c r="R98">
        <f t="shared" si="19"/>
        <v>0</v>
      </c>
    </row>
    <row r="99" spans="1:18" x14ac:dyDescent="0.2">
      <c r="A99">
        <v>21314</v>
      </c>
      <c r="B99">
        <v>0</v>
      </c>
      <c r="C99">
        <f t="shared" si="11"/>
        <v>0</v>
      </c>
      <c r="D99">
        <f t="shared" si="12"/>
        <v>1</v>
      </c>
      <c r="E99">
        <v>1</v>
      </c>
      <c r="F99">
        <f t="shared" si="13"/>
        <v>1</v>
      </c>
      <c r="G99">
        <f t="shared" si="14"/>
        <v>0</v>
      </c>
      <c r="H99">
        <f t="shared" si="15"/>
        <v>0</v>
      </c>
      <c r="I99">
        <f t="shared" si="16"/>
        <v>0</v>
      </c>
      <c r="J99">
        <v>0</v>
      </c>
      <c r="K99">
        <v>4</v>
      </c>
      <c r="L99">
        <v>9.1999999999999993</v>
      </c>
      <c r="M99">
        <v>4</v>
      </c>
      <c r="N99">
        <v>12.1</v>
      </c>
      <c r="O99" s="1">
        <f>((INT(N99)-INT(L99))*3)-(((L99-INT(L99))*10) - ((N99-INT(N99))*10))</f>
        <v>8.0000000000000036</v>
      </c>
      <c r="P99">
        <f t="shared" si="17"/>
        <v>0</v>
      </c>
      <c r="Q99">
        <f t="shared" si="18"/>
        <v>0</v>
      </c>
      <c r="R99">
        <f t="shared" si="19"/>
        <v>1</v>
      </c>
    </row>
    <row r="100" spans="1:18" x14ac:dyDescent="0.2">
      <c r="A100">
        <v>21787</v>
      </c>
      <c r="B100">
        <v>0</v>
      </c>
      <c r="C100">
        <f t="shared" si="11"/>
        <v>0</v>
      </c>
      <c r="D100">
        <f t="shared" si="12"/>
        <v>1</v>
      </c>
      <c r="E100">
        <v>1</v>
      </c>
      <c r="F100">
        <f t="shared" si="13"/>
        <v>1</v>
      </c>
      <c r="G100">
        <f t="shared" si="14"/>
        <v>0</v>
      </c>
      <c r="H100">
        <f t="shared" si="15"/>
        <v>0</v>
      </c>
      <c r="I100">
        <f t="shared" si="16"/>
        <v>0</v>
      </c>
      <c r="J100">
        <v>0</v>
      </c>
      <c r="K100">
        <v>2.2999999999999998</v>
      </c>
      <c r="L100">
        <v>10</v>
      </c>
      <c r="M100">
        <v>2.7</v>
      </c>
      <c r="N100">
        <v>12.2</v>
      </c>
      <c r="O100" s="1">
        <f>((INT(N100)-INT(L100))*3)-(((L100-INT(L100))*10) - ((N100-INT(N100))*10))</f>
        <v>7.9999999999999929</v>
      </c>
      <c r="P100">
        <f t="shared" si="17"/>
        <v>0</v>
      </c>
      <c r="Q100">
        <f t="shared" si="18"/>
        <v>0</v>
      </c>
      <c r="R100">
        <f t="shared" si="19"/>
        <v>1</v>
      </c>
    </row>
    <row r="101" spans="1:18" x14ac:dyDescent="0.2">
      <c r="A101">
        <v>21789</v>
      </c>
      <c r="B101">
        <v>0</v>
      </c>
      <c r="C101">
        <f t="shared" si="11"/>
        <v>0</v>
      </c>
      <c r="D101">
        <f t="shared" si="12"/>
        <v>1</v>
      </c>
      <c r="E101">
        <v>4</v>
      </c>
      <c r="F101">
        <f t="shared" si="13"/>
        <v>0</v>
      </c>
      <c r="G101">
        <f t="shared" si="14"/>
        <v>0</v>
      </c>
      <c r="H101">
        <f t="shared" si="15"/>
        <v>0</v>
      </c>
      <c r="I101">
        <f t="shared" si="16"/>
        <v>1</v>
      </c>
      <c r="J101">
        <v>1</v>
      </c>
      <c r="K101">
        <v>4.3</v>
      </c>
      <c r="L101">
        <v>10.199999999999999</v>
      </c>
      <c r="M101">
        <v>2.7</v>
      </c>
      <c r="N101">
        <v>11.2</v>
      </c>
      <c r="O101" s="1">
        <f>((INT(N101)-INT(L101))*3)-(((L101-INT(L101))*10) - ((N101-INT(N101))*10))</f>
        <v>3</v>
      </c>
      <c r="P101">
        <f t="shared" si="17"/>
        <v>1</v>
      </c>
      <c r="Q101">
        <f t="shared" si="18"/>
        <v>0</v>
      </c>
      <c r="R101">
        <f t="shared" si="19"/>
        <v>0</v>
      </c>
    </row>
    <row r="102" spans="1:18" x14ac:dyDescent="0.2">
      <c r="A102">
        <v>21820</v>
      </c>
      <c r="B102">
        <v>0</v>
      </c>
      <c r="C102">
        <f t="shared" si="11"/>
        <v>0</v>
      </c>
      <c r="D102">
        <f t="shared" si="12"/>
        <v>1</v>
      </c>
      <c r="E102">
        <v>1</v>
      </c>
      <c r="F102">
        <f t="shared" si="13"/>
        <v>1</v>
      </c>
      <c r="G102">
        <f t="shared" si="14"/>
        <v>0</v>
      </c>
      <c r="H102">
        <f t="shared" si="15"/>
        <v>0</v>
      </c>
      <c r="I102">
        <f t="shared" si="16"/>
        <v>0</v>
      </c>
      <c r="J102">
        <v>0</v>
      </c>
      <c r="K102">
        <v>4.3</v>
      </c>
      <c r="L102">
        <v>10.199999999999999</v>
      </c>
      <c r="M102">
        <v>4</v>
      </c>
      <c r="N102">
        <v>12.2</v>
      </c>
      <c r="O102" s="1">
        <f>((INT(N102)-INT(L102))*3)-(((L102-INT(L102))*10) - ((N102-INT(N102))*10))</f>
        <v>6</v>
      </c>
      <c r="P102">
        <f t="shared" si="17"/>
        <v>0</v>
      </c>
      <c r="Q102">
        <f t="shared" si="18"/>
        <v>0</v>
      </c>
      <c r="R102">
        <f t="shared" si="19"/>
        <v>1</v>
      </c>
    </row>
    <row r="103" spans="1:18" x14ac:dyDescent="0.2">
      <c r="A103">
        <v>21825</v>
      </c>
      <c r="B103">
        <v>1</v>
      </c>
      <c r="C103">
        <f t="shared" si="11"/>
        <v>1</v>
      </c>
      <c r="D103">
        <f t="shared" si="12"/>
        <v>0</v>
      </c>
      <c r="E103">
        <v>1</v>
      </c>
      <c r="F103">
        <f t="shared" si="13"/>
        <v>1</v>
      </c>
      <c r="G103">
        <f t="shared" si="14"/>
        <v>0</v>
      </c>
      <c r="H103">
        <f t="shared" si="15"/>
        <v>0</v>
      </c>
      <c r="I103">
        <f t="shared" si="16"/>
        <v>0</v>
      </c>
      <c r="J103">
        <v>0</v>
      </c>
      <c r="K103">
        <v>3.3</v>
      </c>
      <c r="L103">
        <v>11</v>
      </c>
      <c r="M103">
        <v>3</v>
      </c>
      <c r="N103">
        <v>12</v>
      </c>
      <c r="O103" s="1">
        <f>((INT(N103)-INT(L103))*3)-(((L103-INT(L103))*10) - ((N103-INT(N103))*10))</f>
        <v>3</v>
      </c>
      <c r="P103">
        <f t="shared" si="17"/>
        <v>1</v>
      </c>
      <c r="Q103">
        <f t="shared" si="18"/>
        <v>0</v>
      </c>
      <c r="R103">
        <f t="shared" si="19"/>
        <v>0</v>
      </c>
    </row>
    <row r="104" spans="1:18" x14ac:dyDescent="0.2">
      <c r="A104">
        <v>21909</v>
      </c>
      <c r="B104">
        <v>1</v>
      </c>
      <c r="C104">
        <f t="shared" si="11"/>
        <v>1</v>
      </c>
      <c r="D104">
        <f t="shared" si="12"/>
        <v>0</v>
      </c>
      <c r="E104">
        <v>2</v>
      </c>
      <c r="F104">
        <f t="shared" si="13"/>
        <v>0</v>
      </c>
      <c r="G104">
        <f t="shared" si="14"/>
        <v>1</v>
      </c>
      <c r="H104">
        <f t="shared" si="15"/>
        <v>0</v>
      </c>
      <c r="I104">
        <f t="shared" si="16"/>
        <v>0</v>
      </c>
      <c r="J104">
        <v>0</v>
      </c>
      <c r="K104">
        <v>3.3</v>
      </c>
      <c r="L104">
        <v>10</v>
      </c>
      <c r="M104">
        <v>3.3</v>
      </c>
      <c r="N104">
        <v>11.2</v>
      </c>
      <c r="O104" s="1">
        <f>((INT(N104)-INT(L104))*3)-(((L104-INT(L104))*10) - ((N104-INT(N104))*10))</f>
        <v>4.9999999999999929</v>
      </c>
      <c r="P104">
        <f t="shared" si="17"/>
        <v>0</v>
      </c>
      <c r="Q104">
        <f t="shared" si="18"/>
        <v>1</v>
      </c>
      <c r="R104">
        <f t="shared" si="19"/>
        <v>0</v>
      </c>
    </row>
    <row r="105" spans="1:18" x14ac:dyDescent="0.2">
      <c r="A105">
        <v>22044</v>
      </c>
      <c r="B105">
        <v>0</v>
      </c>
      <c r="C105">
        <f t="shared" si="11"/>
        <v>0</v>
      </c>
      <c r="D105">
        <f t="shared" si="12"/>
        <v>1</v>
      </c>
      <c r="E105">
        <v>1</v>
      </c>
      <c r="F105">
        <f t="shared" si="13"/>
        <v>1</v>
      </c>
      <c r="G105">
        <f t="shared" si="14"/>
        <v>0</v>
      </c>
      <c r="H105">
        <f t="shared" si="15"/>
        <v>0</v>
      </c>
      <c r="I105">
        <f t="shared" si="16"/>
        <v>0</v>
      </c>
      <c r="J105">
        <v>0</v>
      </c>
      <c r="K105">
        <v>3.3</v>
      </c>
      <c r="L105">
        <v>11</v>
      </c>
      <c r="M105">
        <v>4</v>
      </c>
      <c r="N105">
        <v>12.2</v>
      </c>
      <c r="O105" s="1">
        <f>((INT(N105)-INT(L105))*3)-(((L105-INT(L105))*10) - ((N105-INT(N105))*10))</f>
        <v>4.9999999999999929</v>
      </c>
      <c r="P105">
        <f t="shared" si="17"/>
        <v>0</v>
      </c>
      <c r="Q105">
        <f t="shared" si="18"/>
        <v>1</v>
      </c>
      <c r="R105">
        <f t="shared" si="19"/>
        <v>0</v>
      </c>
    </row>
    <row r="106" spans="1:18" x14ac:dyDescent="0.2">
      <c r="A106">
        <v>22127</v>
      </c>
      <c r="B106">
        <v>0</v>
      </c>
      <c r="C106">
        <f t="shared" si="11"/>
        <v>0</v>
      </c>
      <c r="D106">
        <f t="shared" si="12"/>
        <v>1</v>
      </c>
      <c r="E106">
        <v>3</v>
      </c>
      <c r="F106">
        <f t="shared" si="13"/>
        <v>0</v>
      </c>
      <c r="G106">
        <f t="shared" si="14"/>
        <v>0</v>
      </c>
      <c r="H106">
        <f t="shared" si="15"/>
        <v>1</v>
      </c>
      <c r="I106">
        <f t="shared" si="16"/>
        <v>0</v>
      </c>
      <c r="J106">
        <v>1</v>
      </c>
      <c r="K106">
        <v>4</v>
      </c>
      <c r="L106">
        <v>8.1999999999999993</v>
      </c>
      <c r="M106">
        <v>2.7</v>
      </c>
      <c r="N106">
        <v>11</v>
      </c>
      <c r="O106" s="1">
        <f>((INT(N106)-INT(L106))*3)-(((L106-INT(L106))*10) - ((N106-INT(N106))*10))</f>
        <v>7.0000000000000071</v>
      </c>
      <c r="P106">
        <f t="shared" si="17"/>
        <v>0</v>
      </c>
      <c r="Q106">
        <f t="shared" si="18"/>
        <v>0</v>
      </c>
      <c r="R106">
        <f t="shared" si="19"/>
        <v>1</v>
      </c>
    </row>
    <row r="107" spans="1:18" x14ac:dyDescent="0.2">
      <c r="A107">
        <v>22131</v>
      </c>
      <c r="B107">
        <v>0</v>
      </c>
      <c r="C107">
        <f t="shared" si="11"/>
        <v>0</v>
      </c>
      <c r="D107">
        <f t="shared" si="12"/>
        <v>1</v>
      </c>
      <c r="E107">
        <v>4</v>
      </c>
      <c r="F107">
        <f t="shared" si="13"/>
        <v>0</v>
      </c>
      <c r="G107">
        <f t="shared" si="14"/>
        <v>0</v>
      </c>
      <c r="H107">
        <f t="shared" si="15"/>
        <v>0</v>
      </c>
      <c r="I107">
        <f t="shared" si="16"/>
        <v>1</v>
      </c>
      <c r="J107">
        <v>1</v>
      </c>
      <c r="K107">
        <v>3.7</v>
      </c>
      <c r="L107">
        <v>8.1</v>
      </c>
      <c r="M107">
        <v>3.7</v>
      </c>
      <c r="N107">
        <v>9.1</v>
      </c>
      <c r="O107" s="1">
        <f>((INT(N107)-INT(L107))*3)-(((L107-INT(L107))*10) - ((N107-INT(N107))*10))</f>
        <v>3</v>
      </c>
      <c r="P107">
        <f t="shared" si="17"/>
        <v>1</v>
      </c>
      <c r="Q107">
        <f t="shared" si="18"/>
        <v>0</v>
      </c>
      <c r="R107">
        <f t="shared" si="19"/>
        <v>0</v>
      </c>
    </row>
    <row r="108" spans="1:18" x14ac:dyDescent="0.2">
      <c r="A108">
        <v>22187</v>
      </c>
      <c r="B108">
        <v>1</v>
      </c>
      <c r="C108">
        <f t="shared" si="11"/>
        <v>1</v>
      </c>
      <c r="D108">
        <f t="shared" si="12"/>
        <v>0</v>
      </c>
      <c r="E108">
        <v>4</v>
      </c>
      <c r="F108">
        <f t="shared" si="13"/>
        <v>0</v>
      </c>
      <c r="G108">
        <f t="shared" si="14"/>
        <v>0</v>
      </c>
      <c r="H108">
        <f t="shared" si="15"/>
        <v>0</v>
      </c>
      <c r="I108">
        <f t="shared" si="16"/>
        <v>1</v>
      </c>
      <c r="J108">
        <v>0</v>
      </c>
      <c r="K108">
        <v>3.3</v>
      </c>
      <c r="L108">
        <v>9.1999999999999993</v>
      </c>
      <c r="M108">
        <v>2.7</v>
      </c>
      <c r="N108">
        <v>12</v>
      </c>
      <c r="O108" s="1">
        <f>((INT(N108)-INT(L108))*3)-(((L108-INT(L108))*10) - ((N108-INT(N108))*10))</f>
        <v>7.0000000000000071</v>
      </c>
      <c r="P108">
        <f t="shared" si="17"/>
        <v>0</v>
      </c>
      <c r="Q108">
        <f t="shared" si="18"/>
        <v>0</v>
      </c>
      <c r="R108">
        <f t="shared" si="19"/>
        <v>1</v>
      </c>
    </row>
    <row r="109" spans="1:18" x14ac:dyDescent="0.2">
      <c r="A109">
        <v>22565</v>
      </c>
      <c r="B109">
        <v>0</v>
      </c>
      <c r="C109">
        <f t="shared" si="11"/>
        <v>0</v>
      </c>
      <c r="D109">
        <f t="shared" si="12"/>
        <v>1</v>
      </c>
      <c r="E109">
        <v>2</v>
      </c>
      <c r="F109">
        <f t="shared" si="13"/>
        <v>0</v>
      </c>
      <c r="G109">
        <f t="shared" si="14"/>
        <v>1</v>
      </c>
      <c r="H109">
        <f t="shared" si="15"/>
        <v>0</v>
      </c>
      <c r="I109">
        <f t="shared" si="16"/>
        <v>0</v>
      </c>
      <c r="J109">
        <v>1</v>
      </c>
      <c r="K109">
        <v>2</v>
      </c>
      <c r="L109">
        <v>8</v>
      </c>
      <c r="M109">
        <v>2.2999999999999998</v>
      </c>
      <c r="N109">
        <v>9</v>
      </c>
      <c r="O109" s="1">
        <f>((INT(N109)-INT(L109))*3)-(((L109-INT(L109))*10) - ((N109-INT(N109))*10))</f>
        <v>3</v>
      </c>
      <c r="P109">
        <f t="shared" si="17"/>
        <v>1</v>
      </c>
      <c r="Q109">
        <f t="shared" si="18"/>
        <v>0</v>
      </c>
      <c r="R109">
        <f t="shared" si="19"/>
        <v>0</v>
      </c>
    </row>
    <row r="110" spans="1:18" x14ac:dyDescent="0.2">
      <c r="A110">
        <v>22640</v>
      </c>
      <c r="B110">
        <v>0</v>
      </c>
      <c r="C110">
        <f t="shared" si="11"/>
        <v>0</v>
      </c>
      <c r="D110">
        <f t="shared" si="12"/>
        <v>1</v>
      </c>
      <c r="E110">
        <v>1</v>
      </c>
      <c r="F110">
        <f t="shared" si="13"/>
        <v>1</v>
      </c>
      <c r="G110">
        <f t="shared" si="14"/>
        <v>0</v>
      </c>
      <c r="H110">
        <f t="shared" si="15"/>
        <v>0</v>
      </c>
      <c r="I110">
        <f t="shared" si="16"/>
        <v>0</v>
      </c>
      <c r="J110">
        <v>0</v>
      </c>
      <c r="K110">
        <v>3</v>
      </c>
      <c r="L110">
        <v>10.199999999999999</v>
      </c>
      <c r="M110">
        <v>3.7</v>
      </c>
      <c r="N110">
        <v>11.2</v>
      </c>
      <c r="O110" s="1">
        <f>((INT(N110)-INT(L110))*3)-(((L110-INT(L110))*10) - ((N110-INT(N110))*10))</f>
        <v>3</v>
      </c>
      <c r="P110">
        <f t="shared" si="17"/>
        <v>1</v>
      </c>
      <c r="Q110">
        <f t="shared" si="18"/>
        <v>0</v>
      </c>
      <c r="R110">
        <f t="shared" si="19"/>
        <v>0</v>
      </c>
    </row>
    <row r="111" spans="1:18" x14ac:dyDescent="0.2">
      <c r="A111">
        <v>22826</v>
      </c>
      <c r="B111">
        <v>0</v>
      </c>
      <c r="C111">
        <f t="shared" si="11"/>
        <v>0</v>
      </c>
      <c r="D111">
        <f t="shared" si="12"/>
        <v>1</v>
      </c>
      <c r="E111">
        <v>1</v>
      </c>
      <c r="F111">
        <f t="shared" si="13"/>
        <v>1</v>
      </c>
      <c r="G111">
        <f t="shared" si="14"/>
        <v>0</v>
      </c>
      <c r="H111">
        <f t="shared" si="15"/>
        <v>0</v>
      </c>
      <c r="I111">
        <f t="shared" si="16"/>
        <v>0</v>
      </c>
      <c r="J111">
        <v>0</v>
      </c>
      <c r="K111">
        <v>3.3</v>
      </c>
      <c r="L111">
        <v>10.199999999999999</v>
      </c>
      <c r="M111">
        <v>2</v>
      </c>
      <c r="N111">
        <v>11.1</v>
      </c>
      <c r="O111" s="1">
        <f>((INT(N111)-INT(L111))*3)-(((L111-INT(L111))*10) - ((N111-INT(N111))*10))</f>
        <v>2.0000000000000036</v>
      </c>
      <c r="P111">
        <f t="shared" si="17"/>
        <v>1</v>
      </c>
      <c r="Q111">
        <f t="shared" si="18"/>
        <v>0</v>
      </c>
      <c r="R111">
        <f t="shared" si="19"/>
        <v>0</v>
      </c>
    </row>
    <row r="112" spans="1:18" x14ac:dyDescent="0.2">
      <c r="A112">
        <v>23429</v>
      </c>
      <c r="B112">
        <v>1</v>
      </c>
      <c r="C112">
        <f t="shared" si="11"/>
        <v>1</v>
      </c>
      <c r="D112">
        <f t="shared" si="12"/>
        <v>0</v>
      </c>
      <c r="E112">
        <v>2</v>
      </c>
      <c r="F112">
        <f t="shared" si="13"/>
        <v>0</v>
      </c>
      <c r="G112">
        <f t="shared" si="14"/>
        <v>1</v>
      </c>
      <c r="H112">
        <f t="shared" si="15"/>
        <v>0</v>
      </c>
      <c r="I112">
        <f t="shared" si="16"/>
        <v>0</v>
      </c>
      <c r="J112">
        <v>1</v>
      </c>
      <c r="K112">
        <v>4.3</v>
      </c>
      <c r="L112">
        <v>10.199999999999999</v>
      </c>
      <c r="M112">
        <v>4.3</v>
      </c>
      <c r="N112">
        <v>12.2</v>
      </c>
      <c r="O112" s="1">
        <f>((INT(N112)-INT(L112))*3)-(((L112-INT(L112))*10) - ((N112-INT(N112))*10))</f>
        <v>6</v>
      </c>
      <c r="P112">
        <f t="shared" si="17"/>
        <v>0</v>
      </c>
      <c r="Q112">
        <f t="shared" si="18"/>
        <v>0</v>
      </c>
      <c r="R112">
        <f t="shared" si="19"/>
        <v>1</v>
      </c>
    </row>
    <row r="113" spans="1:18" x14ac:dyDescent="0.2">
      <c r="A113">
        <v>23931</v>
      </c>
      <c r="B113">
        <v>0</v>
      </c>
      <c r="C113">
        <f t="shared" si="11"/>
        <v>0</v>
      </c>
      <c r="D113">
        <f t="shared" si="12"/>
        <v>1</v>
      </c>
      <c r="E113">
        <v>2</v>
      </c>
      <c r="F113">
        <f t="shared" si="13"/>
        <v>0</v>
      </c>
      <c r="G113">
        <f t="shared" si="14"/>
        <v>1</v>
      </c>
      <c r="H113">
        <f t="shared" si="15"/>
        <v>0</v>
      </c>
      <c r="I113">
        <f t="shared" si="16"/>
        <v>0</v>
      </c>
      <c r="J113">
        <v>0</v>
      </c>
      <c r="K113">
        <v>3.7</v>
      </c>
      <c r="L113">
        <v>7</v>
      </c>
      <c r="M113">
        <v>2</v>
      </c>
      <c r="N113">
        <v>7.2</v>
      </c>
      <c r="O113" s="1">
        <f>((INT(N113)-INT(L113))*3)-(((L113-INT(L113))*10) - ((N113-INT(N113))*10))</f>
        <v>2.0000000000000018</v>
      </c>
      <c r="P113">
        <f t="shared" si="17"/>
        <v>1</v>
      </c>
      <c r="Q113">
        <f t="shared" si="18"/>
        <v>0</v>
      </c>
      <c r="R113">
        <f t="shared" si="19"/>
        <v>0</v>
      </c>
    </row>
    <row r="114" spans="1:18" x14ac:dyDescent="0.2">
      <c r="A114">
        <v>24012</v>
      </c>
      <c r="B114">
        <v>0</v>
      </c>
      <c r="C114">
        <f t="shared" si="11"/>
        <v>0</v>
      </c>
      <c r="D114">
        <f t="shared" si="12"/>
        <v>1</v>
      </c>
      <c r="E114">
        <v>4</v>
      </c>
      <c r="F114">
        <f t="shared" si="13"/>
        <v>0</v>
      </c>
      <c r="G114">
        <f t="shared" si="14"/>
        <v>0</v>
      </c>
      <c r="H114">
        <f t="shared" si="15"/>
        <v>0</v>
      </c>
      <c r="I114">
        <f t="shared" si="16"/>
        <v>1</v>
      </c>
      <c r="J114">
        <v>0</v>
      </c>
      <c r="K114">
        <v>4</v>
      </c>
      <c r="L114">
        <v>9</v>
      </c>
      <c r="M114">
        <v>4</v>
      </c>
      <c r="N114">
        <v>10</v>
      </c>
      <c r="O114" s="1">
        <f>((INT(N114)-INT(L114))*3)-(((L114-INT(L114))*10) - ((N114-INT(N114))*10))</f>
        <v>3</v>
      </c>
      <c r="P114">
        <f t="shared" si="17"/>
        <v>1</v>
      </c>
      <c r="Q114">
        <f t="shared" si="18"/>
        <v>0</v>
      </c>
      <c r="R114">
        <f t="shared" si="19"/>
        <v>0</v>
      </c>
    </row>
    <row r="115" spans="1:18" x14ac:dyDescent="0.2">
      <c r="A115">
        <v>24266</v>
      </c>
      <c r="B115">
        <v>0</v>
      </c>
      <c r="C115">
        <f t="shared" si="11"/>
        <v>0</v>
      </c>
      <c r="D115">
        <f t="shared" si="12"/>
        <v>1</v>
      </c>
      <c r="E115">
        <v>4</v>
      </c>
      <c r="F115">
        <f t="shared" si="13"/>
        <v>0</v>
      </c>
      <c r="G115">
        <f t="shared" si="14"/>
        <v>0</v>
      </c>
      <c r="H115">
        <f t="shared" si="15"/>
        <v>0</v>
      </c>
      <c r="I115">
        <f t="shared" si="16"/>
        <v>1</v>
      </c>
      <c r="J115">
        <v>1</v>
      </c>
      <c r="K115">
        <v>2</v>
      </c>
      <c r="L115">
        <v>3</v>
      </c>
      <c r="M115">
        <v>3</v>
      </c>
      <c r="N115">
        <v>6</v>
      </c>
      <c r="O115" s="1">
        <f>((INT(N115)-INT(L115))*3)-(((L115-INT(L115))*10) - ((N115-INT(N115))*10))</f>
        <v>9</v>
      </c>
      <c r="P115">
        <f t="shared" si="17"/>
        <v>0</v>
      </c>
      <c r="Q115">
        <f t="shared" si="18"/>
        <v>0</v>
      </c>
      <c r="R115">
        <f t="shared" si="19"/>
        <v>1</v>
      </c>
    </row>
    <row r="116" spans="1:18" x14ac:dyDescent="0.2">
      <c r="A116">
        <v>24330</v>
      </c>
      <c r="B116">
        <v>0</v>
      </c>
      <c r="C116">
        <f t="shared" si="11"/>
        <v>0</v>
      </c>
      <c r="D116">
        <f t="shared" si="12"/>
        <v>1</v>
      </c>
      <c r="E116">
        <v>4</v>
      </c>
      <c r="F116">
        <f t="shared" si="13"/>
        <v>0</v>
      </c>
      <c r="G116">
        <f t="shared" si="14"/>
        <v>0</v>
      </c>
      <c r="H116">
        <f t="shared" si="15"/>
        <v>0</v>
      </c>
      <c r="I116">
        <f t="shared" si="16"/>
        <v>1</v>
      </c>
      <c r="J116">
        <v>1</v>
      </c>
      <c r="K116">
        <v>3.3</v>
      </c>
      <c r="L116">
        <v>9.1999999999999993</v>
      </c>
      <c r="M116">
        <v>4</v>
      </c>
      <c r="N116">
        <v>10.1</v>
      </c>
      <c r="O116" s="1">
        <f>((INT(N116)-INT(L116))*3)-(((L116-INT(L116))*10) - ((N116-INT(N116))*10))</f>
        <v>2.0000000000000036</v>
      </c>
      <c r="P116">
        <f t="shared" si="17"/>
        <v>1</v>
      </c>
      <c r="Q116">
        <f t="shared" si="18"/>
        <v>0</v>
      </c>
      <c r="R116">
        <f t="shared" si="19"/>
        <v>0</v>
      </c>
    </row>
    <row r="117" spans="1:18" x14ac:dyDescent="0.2">
      <c r="A117">
        <v>24755</v>
      </c>
      <c r="B117">
        <v>0</v>
      </c>
      <c r="C117">
        <f t="shared" si="11"/>
        <v>0</v>
      </c>
      <c r="D117">
        <f t="shared" si="12"/>
        <v>1</v>
      </c>
      <c r="E117">
        <v>1</v>
      </c>
      <c r="F117">
        <f t="shared" si="13"/>
        <v>1</v>
      </c>
      <c r="G117">
        <f t="shared" si="14"/>
        <v>0</v>
      </c>
      <c r="H117">
        <f t="shared" si="15"/>
        <v>0</v>
      </c>
      <c r="I117">
        <f t="shared" si="16"/>
        <v>0</v>
      </c>
      <c r="J117">
        <v>0</v>
      </c>
      <c r="K117">
        <v>2</v>
      </c>
      <c r="L117">
        <v>8</v>
      </c>
      <c r="M117">
        <v>2.7</v>
      </c>
      <c r="N117">
        <v>9.1999999999999993</v>
      </c>
      <c r="O117" s="1">
        <f>((INT(N117)-INT(L117))*3)-(((L117-INT(L117))*10) - ((N117-INT(N117))*10))</f>
        <v>4.9999999999999929</v>
      </c>
      <c r="P117">
        <f t="shared" si="17"/>
        <v>0</v>
      </c>
      <c r="Q117">
        <f t="shared" si="18"/>
        <v>1</v>
      </c>
      <c r="R117">
        <f t="shared" si="19"/>
        <v>0</v>
      </c>
    </row>
    <row r="118" spans="1:18" x14ac:dyDescent="0.2">
      <c r="A118">
        <v>24758</v>
      </c>
      <c r="B118">
        <v>0</v>
      </c>
      <c r="C118">
        <f t="shared" si="11"/>
        <v>0</v>
      </c>
      <c r="D118">
        <f t="shared" si="12"/>
        <v>1</v>
      </c>
      <c r="E118">
        <v>2</v>
      </c>
      <c r="F118">
        <f t="shared" si="13"/>
        <v>0</v>
      </c>
      <c r="G118">
        <f t="shared" si="14"/>
        <v>1</v>
      </c>
      <c r="H118">
        <f t="shared" si="15"/>
        <v>0</v>
      </c>
      <c r="I118">
        <f t="shared" si="16"/>
        <v>0</v>
      </c>
      <c r="J118">
        <v>1</v>
      </c>
      <c r="K118">
        <v>4.3</v>
      </c>
      <c r="L118">
        <v>10.199999999999999</v>
      </c>
      <c r="M118">
        <v>3</v>
      </c>
      <c r="N118">
        <v>12.2</v>
      </c>
      <c r="O118" s="1">
        <f>((INT(N118)-INT(L118))*3)-(((L118-INT(L118))*10) - ((N118-INT(N118))*10))</f>
        <v>6</v>
      </c>
      <c r="P118">
        <f t="shared" si="17"/>
        <v>0</v>
      </c>
      <c r="Q118">
        <f t="shared" si="18"/>
        <v>0</v>
      </c>
      <c r="R118">
        <f t="shared" si="19"/>
        <v>1</v>
      </c>
    </row>
    <row r="119" spans="1:18" x14ac:dyDescent="0.2">
      <c r="A119">
        <v>24876</v>
      </c>
      <c r="B119">
        <v>0</v>
      </c>
      <c r="C119">
        <f t="shared" si="11"/>
        <v>0</v>
      </c>
      <c r="D119">
        <f t="shared" si="12"/>
        <v>1</v>
      </c>
      <c r="E119">
        <v>2</v>
      </c>
      <c r="F119">
        <f t="shared" si="13"/>
        <v>0</v>
      </c>
      <c r="G119">
        <f t="shared" si="14"/>
        <v>1</v>
      </c>
      <c r="H119">
        <f t="shared" si="15"/>
        <v>0</v>
      </c>
      <c r="I119">
        <f t="shared" si="16"/>
        <v>0</v>
      </c>
      <c r="J119">
        <v>0</v>
      </c>
      <c r="K119">
        <v>2</v>
      </c>
      <c r="L119">
        <v>4</v>
      </c>
      <c r="M119">
        <v>2.2999999999999998</v>
      </c>
      <c r="N119">
        <v>6</v>
      </c>
      <c r="O119" s="1">
        <f>((INT(N119)-INT(L119))*3)-(((L119-INT(L119))*10) - ((N119-INT(N119))*10))</f>
        <v>6</v>
      </c>
      <c r="P119">
        <f t="shared" si="17"/>
        <v>0</v>
      </c>
      <c r="Q119">
        <f t="shared" si="18"/>
        <v>0</v>
      </c>
      <c r="R119">
        <f t="shared" si="19"/>
        <v>1</v>
      </c>
    </row>
    <row r="120" spans="1:18" x14ac:dyDescent="0.2">
      <c r="A120">
        <v>25087</v>
      </c>
      <c r="B120">
        <v>1</v>
      </c>
      <c r="C120">
        <f t="shared" si="11"/>
        <v>1</v>
      </c>
      <c r="D120">
        <f t="shared" si="12"/>
        <v>0</v>
      </c>
      <c r="E120">
        <v>2</v>
      </c>
      <c r="F120">
        <f t="shared" si="13"/>
        <v>0</v>
      </c>
      <c r="G120">
        <f t="shared" si="14"/>
        <v>1</v>
      </c>
      <c r="H120">
        <f t="shared" si="15"/>
        <v>0</v>
      </c>
      <c r="I120">
        <f t="shared" si="16"/>
        <v>0</v>
      </c>
      <c r="J120">
        <v>0</v>
      </c>
      <c r="K120">
        <v>2.7</v>
      </c>
      <c r="L120">
        <v>9</v>
      </c>
      <c r="M120">
        <v>3.7</v>
      </c>
      <c r="N120">
        <v>10</v>
      </c>
      <c r="O120" s="1">
        <f>((INT(N120)-INT(L120))*3)-(((L120-INT(L120))*10) - ((N120-INT(N120))*10))</f>
        <v>3</v>
      </c>
      <c r="P120">
        <f t="shared" si="17"/>
        <v>1</v>
      </c>
      <c r="Q120">
        <f t="shared" si="18"/>
        <v>0</v>
      </c>
      <c r="R120">
        <f t="shared" si="19"/>
        <v>0</v>
      </c>
    </row>
    <row r="121" spans="1:18" x14ac:dyDescent="0.2">
      <c r="A121">
        <v>25277</v>
      </c>
      <c r="B121">
        <v>0</v>
      </c>
      <c r="C121">
        <f t="shared" si="11"/>
        <v>0</v>
      </c>
      <c r="D121">
        <f t="shared" si="12"/>
        <v>1</v>
      </c>
      <c r="E121">
        <v>1</v>
      </c>
      <c r="F121">
        <f t="shared" si="13"/>
        <v>1</v>
      </c>
      <c r="G121">
        <f t="shared" si="14"/>
        <v>0</v>
      </c>
      <c r="H121">
        <f t="shared" si="15"/>
        <v>0</v>
      </c>
      <c r="I121">
        <f t="shared" si="16"/>
        <v>0</v>
      </c>
      <c r="J121">
        <v>0</v>
      </c>
      <c r="K121">
        <v>3</v>
      </c>
      <c r="L121">
        <v>11</v>
      </c>
      <c r="M121">
        <v>3</v>
      </c>
      <c r="N121">
        <v>12.2</v>
      </c>
      <c r="O121" s="1">
        <f>((INT(N121)-INT(L121))*3)-(((L121-INT(L121))*10) - ((N121-INT(N121))*10))</f>
        <v>4.9999999999999929</v>
      </c>
      <c r="P121">
        <f t="shared" si="17"/>
        <v>0</v>
      </c>
      <c r="Q121">
        <f t="shared" si="18"/>
        <v>1</v>
      </c>
      <c r="R121">
        <f t="shared" si="19"/>
        <v>0</v>
      </c>
    </row>
    <row r="122" spans="1:18" x14ac:dyDescent="0.2">
      <c r="A122">
        <v>25444</v>
      </c>
      <c r="B122">
        <v>1</v>
      </c>
      <c r="C122">
        <f t="shared" si="11"/>
        <v>1</v>
      </c>
      <c r="D122">
        <f t="shared" si="12"/>
        <v>0</v>
      </c>
      <c r="E122">
        <v>1</v>
      </c>
      <c r="F122">
        <f t="shared" si="13"/>
        <v>1</v>
      </c>
      <c r="G122">
        <f t="shared" si="14"/>
        <v>0</v>
      </c>
      <c r="H122">
        <f t="shared" si="15"/>
        <v>0</v>
      </c>
      <c r="I122">
        <f t="shared" si="16"/>
        <v>0</v>
      </c>
      <c r="J122">
        <v>0</v>
      </c>
      <c r="K122">
        <v>3</v>
      </c>
      <c r="L122">
        <v>10.199999999999999</v>
      </c>
      <c r="M122">
        <v>4</v>
      </c>
      <c r="N122">
        <v>11.2</v>
      </c>
      <c r="O122" s="1">
        <f>((INT(N122)-INT(L122))*3)-(((L122-INT(L122))*10) - ((N122-INT(N122))*10))</f>
        <v>3</v>
      </c>
      <c r="P122">
        <f t="shared" si="17"/>
        <v>1</v>
      </c>
      <c r="Q122">
        <f t="shared" si="18"/>
        <v>0</v>
      </c>
      <c r="R122">
        <f t="shared" si="19"/>
        <v>0</v>
      </c>
    </row>
    <row r="123" spans="1:18" x14ac:dyDescent="0.2">
      <c r="A123">
        <v>25458</v>
      </c>
      <c r="B123">
        <v>0</v>
      </c>
      <c r="C123">
        <f t="shared" si="11"/>
        <v>0</v>
      </c>
      <c r="D123">
        <f t="shared" si="12"/>
        <v>1</v>
      </c>
      <c r="E123">
        <v>3</v>
      </c>
      <c r="F123">
        <f t="shared" si="13"/>
        <v>0</v>
      </c>
      <c r="G123">
        <f t="shared" si="14"/>
        <v>0</v>
      </c>
      <c r="H123">
        <f t="shared" si="15"/>
        <v>1</v>
      </c>
      <c r="I123">
        <f t="shared" si="16"/>
        <v>0</v>
      </c>
      <c r="J123">
        <v>1</v>
      </c>
      <c r="K123">
        <v>4</v>
      </c>
      <c r="L123">
        <v>8.1999999999999993</v>
      </c>
      <c r="M123">
        <v>4</v>
      </c>
      <c r="N123">
        <v>10</v>
      </c>
      <c r="O123" s="1">
        <f>((INT(N123)-INT(L123))*3)-(((L123-INT(L123))*10) - ((N123-INT(N123))*10))</f>
        <v>4.0000000000000071</v>
      </c>
      <c r="P123">
        <f t="shared" si="17"/>
        <v>0</v>
      </c>
      <c r="Q123">
        <f t="shared" si="18"/>
        <v>1</v>
      </c>
      <c r="R123">
        <f t="shared" si="19"/>
        <v>0</v>
      </c>
    </row>
    <row r="124" spans="1:18" x14ac:dyDescent="0.2">
      <c r="A124">
        <v>25470</v>
      </c>
      <c r="B124">
        <v>1</v>
      </c>
      <c r="C124">
        <f t="shared" si="11"/>
        <v>1</v>
      </c>
      <c r="D124">
        <f t="shared" si="12"/>
        <v>0</v>
      </c>
      <c r="E124">
        <v>4</v>
      </c>
      <c r="F124">
        <f t="shared" si="13"/>
        <v>0</v>
      </c>
      <c r="G124">
        <f t="shared" si="14"/>
        <v>0</v>
      </c>
      <c r="H124">
        <f t="shared" si="15"/>
        <v>0</v>
      </c>
      <c r="I124">
        <f t="shared" si="16"/>
        <v>1</v>
      </c>
      <c r="J124">
        <v>0</v>
      </c>
      <c r="K124">
        <v>4.3</v>
      </c>
      <c r="L124">
        <v>10</v>
      </c>
      <c r="M124">
        <v>4.3</v>
      </c>
      <c r="N124">
        <v>11</v>
      </c>
      <c r="O124" s="1">
        <f>((INT(N124)-INT(L124))*3)-(((L124-INT(L124))*10) - ((N124-INT(N124))*10))</f>
        <v>3</v>
      </c>
      <c r="P124">
        <f t="shared" si="17"/>
        <v>1</v>
      </c>
      <c r="Q124">
        <f t="shared" si="18"/>
        <v>0</v>
      </c>
      <c r="R124">
        <f t="shared" si="19"/>
        <v>0</v>
      </c>
    </row>
    <row r="125" spans="1:18" x14ac:dyDescent="0.2">
      <c r="A125">
        <v>25534</v>
      </c>
      <c r="B125">
        <v>1</v>
      </c>
      <c r="C125">
        <f t="shared" si="11"/>
        <v>1</v>
      </c>
      <c r="D125">
        <f t="shared" si="12"/>
        <v>0</v>
      </c>
      <c r="E125">
        <v>1</v>
      </c>
      <c r="F125">
        <f t="shared" si="13"/>
        <v>1</v>
      </c>
      <c r="G125">
        <f t="shared" si="14"/>
        <v>0</v>
      </c>
      <c r="H125">
        <f t="shared" si="15"/>
        <v>0</v>
      </c>
      <c r="I125">
        <f t="shared" si="16"/>
        <v>0</v>
      </c>
      <c r="J125">
        <v>0</v>
      </c>
      <c r="K125">
        <v>3.7</v>
      </c>
      <c r="L125">
        <v>12</v>
      </c>
      <c r="M125">
        <v>4</v>
      </c>
      <c r="N125">
        <v>12.2</v>
      </c>
      <c r="O125" s="1">
        <f>((INT(N125)-INT(L125))*3)-(((L125-INT(L125))*10) - ((N125-INT(N125))*10))</f>
        <v>1.9999999999999929</v>
      </c>
      <c r="P125">
        <f t="shared" si="17"/>
        <v>1</v>
      </c>
      <c r="Q125">
        <f t="shared" si="18"/>
        <v>0</v>
      </c>
      <c r="R125">
        <f t="shared" si="19"/>
        <v>0</v>
      </c>
    </row>
    <row r="126" spans="1:18" x14ac:dyDescent="0.2">
      <c r="A126">
        <v>25590</v>
      </c>
      <c r="B126">
        <v>0</v>
      </c>
      <c r="C126">
        <f t="shared" si="11"/>
        <v>0</v>
      </c>
      <c r="D126">
        <f t="shared" si="12"/>
        <v>1</v>
      </c>
      <c r="E126">
        <v>1</v>
      </c>
      <c r="F126">
        <f t="shared" si="13"/>
        <v>1</v>
      </c>
      <c r="G126">
        <f t="shared" si="14"/>
        <v>0</v>
      </c>
      <c r="H126">
        <f t="shared" si="15"/>
        <v>0</v>
      </c>
      <c r="I126">
        <f t="shared" si="16"/>
        <v>0</v>
      </c>
      <c r="J126">
        <v>1</v>
      </c>
      <c r="K126">
        <v>4</v>
      </c>
      <c r="L126">
        <v>6.2</v>
      </c>
      <c r="M126">
        <v>2</v>
      </c>
      <c r="N126">
        <v>7.2</v>
      </c>
      <c r="O126" s="1">
        <f>((INT(N126)-INT(L126))*3)-(((L126-INT(L126))*10) - ((N126-INT(N126))*10))</f>
        <v>3</v>
      </c>
      <c r="P126">
        <f t="shared" si="17"/>
        <v>1</v>
      </c>
      <c r="Q126">
        <f t="shared" si="18"/>
        <v>0</v>
      </c>
      <c r="R126">
        <f t="shared" si="19"/>
        <v>0</v>
      </c>
    </row>
    <row r="127" spans="1:18" x14ac:dyDescent="0.2">
      <c r="A127">
        <v>25746</v>
      </c>
      <c r="B127">
        <v>0</v>
      </c>
      <c r="C127">
        <f t="shared" si="11"/>
        <v>0</v>
      </c>
      <c r="D127">
        <f t="shared" si="12"/>
        <v>1</v>
      </c>
      <c r="E127">
        <v>1</v>
      </c>
      <c r="F127">
        <f t="shared" si="13"/>
        <v>1</v>
      </c>
      <c r="G127">
        <f t="shared" si="14"/>
        <v>0</v>
      </c>
      <c r="H127">
        <f t="shared" si="15"/>
        <v>0</v>
      </c>
      <c r="I127">
        <f t="shared" si="16"/>
        <v>0</v>
      </c>
      <c r="J127">
        <v>0</v>
      </c>
      <c r="K127">
        <v>4.3</v>
      </c>
      <c r="L127">
        <v>11</v>
      </c>
      <c r="M127">
        <v>3.3</v>
      </c>
      <c r="N127">
        <v>12</v>
      </c>
      <c r="O127" s="1">
        <f>((INT(N127)-INT(L127))*3)-(((L127-INT(L127))*10) - ((N127-INT(N127))*10))</f>
        <v>3</v>
      </c>
      <c r="P127">
        <f t="shared" si="17"/>
        <v>1</v>
      </c>
      <c r="Q127">
        <f t="shared" si="18"/>
        <v>0</v>
      </c>
      <c r="R127">
        <f t="shared" si="19"/>
        <v>0</v>
      </c>
    </row>
    <row r="128" spans="1:18" x14ac:dyDescent="0.2">
      <c r="A128">
        <v>25998</v>
      </c>
      <c r="B128">
        <v>0</v>
      </c>
      <c r="C128">
        <f t="shared" si="11"/>
        <v>0</v>
      </c>
      <c r="D128">
        <f t="shared" si="12"/>
        <v>1</v>
      </c>
      <c r="E128">
        <v>4</v>
      </c>
      <c r="F128">
        <f t="shared" si="13"/>
        <v>0</v>
      </c>
      <c r="G128">
        <f t="shared" si="14"/>
        <v>0</v>
      </c>
      <c r="H128">
        <f t="shared" si="15"/>
        <v>0</v>
      </c>
      <c r="I128">
        <f t="shared" si="16"/>
        <v>1</v>
      </c>
      <c r="J128">
        <v>0</v>
      </c>
      <c r="K128">
        <v>3.3</v>
      </c>
      <c r="L128">
        <v>4.2</v>
      </c>
      <c r="M128">
        <v>3</v>
      </c>
      <c r="N128">
        <v>5.2</v>
      </c>
      <c r="O128" s="1">
        <f>((INT(N128)-INT(L128))*3)-(((L128-INT(L128))*10) - ((N128-INT(N128))*10))</f>
        <v>3</v>
      </c>
      <c r="P128">
        <f t="shared" si="17"/>
        <v>1</v>
      </c>
      <c r="Q128">
        <f t="shared" si="18"/>
        <v>0</v>
      </c>
      <c r="R128">
        <f t="shared" si="19"/>
        <v>0</v>
      </c>
    </row>
    <row r="129" spans="1:18" x14ac:dyDescent="0.2">
      <c r="A129">
        <v>26007</v>
      </c>
      <c r="B129">
        <v>1</v>
      </c>
      <c r="C129">
        <f t="shared" si="11"/>
        <v>1</v>
      </c>
      <c r="D129">
        <f t="shared" si="12"/>
        <v>0</v>
      </c>
      <c r="E129">
        <v>1</v>
      </c>
      <c r="F129">
        <f t="shared" si="13"/>
        <v>1</v>
      </c>
      <c r="G129">
        <f t="shared" si="14"/>
        <v>0</v>
      </c>
      <c r="H129">
        <f t="shared" si="15"/>
        <v>0</v>
      </c>
      <c r="I129">
        <f t="shared" si="16"/>
        <v>0</v>
      </c>
      <c r="J129">
        <v>1</v>
      </c>
      <c r="K129">
        <v>4</v>
      </c>
      <c r="L129">
        <v>11</v>
      </c>
      <c r="M129">
        <v>4</v>
      </c>
      <c r="N129">
        <v>11.2</v>
      </c>
      <c r="O129" s="1">
        <f>((INT(N129)-INT(L129))*3)-(((L129-INT(L129))*10) - ((N129-INT(N129))*10))</f>
        <v>1.9999999999999929</v>
      </c>
      <c r="P129">
        <f t="shared" si="17"/>
        <v>1</v>
      </c>
      <c r="Q129">
        <f t="shared" si="18"/>
        <v>0</v>
      </c>
      <c r="R129">
        <f t="shared" si="19"/>
        <v>0</v>
      </c>
    </row>
    <row r="130" spans="1:18" x14ac:dyDescent="0.2">
      <c r="A130">
        <v>26072</v>
      </c>
      <c r="B130">
        <v>0</v>
      </c>
      <c r="C130">
        <f t="shared" si="11"/>
        <v>0</v>
      </c>
      <c r="D130">
        <f t="shared" si="12"/>
        <v>1</v>
      </c>
      <c r="E130">
        <v>4</v>
      </c>
      <c r="F130">
        <f t="shared" si="13"/>
        <v>0</v>
      </c>
      <c r="G130">
        <f t="shared" si="14"/>
        <v>0</v>
      </c>
      <c r="H130">
        <f t="shared" si="15"/>
        <v>0</v>
      </c>
      <c r="I130">
        <f t="shared" si="16"/>
        <v>1</v>
      </c>
      <c r="J130">
        <v>0</v>
      </c>
      <c r="K130">
        <v>2</v>
      </c>
      <c r="L130">
        <v>7</v>
      </c>
      <c r="M130">
        <v>3</v>
      </c>
      <c r="N130">
        <v>9.1999999999999993</v>
      </c>
      <c r="O130" s="1">
        <f>((INT(N130)-INT(L130))*3)-(((L130-INT(L130))*10) - ((N130-INT(N130))*10))</f>
        <v>7.9999999999999929</v>
      </c>
      <c r="P130">
        <f t="shared" si="17"/>
        <v>0</v>
      </c>
      <c r="Q130">
        <f t="shared" si="18"/>
        <v>0</v>
      </c>
      <c r="R130">
        <f t="shared" si="19"/>
        <v>1</v>
      </c>
    </row>
    <row r="131" spans="1:18" x14ac:dyDescent="0.2">
      <c r="A131">
        <v>26153</v>
      </c>
      <c r="B131">
        <v>0</v>
      </c>
      <c r="C131">
        <f t="shared" ref="C131:C194" si="20">IF(B131=1,1,0)</f>
        <v>0</v>
      </c>
      <c r="D131">
        <f t="shared" ref="D131:D194" si="21">IF(B131=0,1,0)</f>
        <v>1</v>
      </c>
      <c r="E131">
        <v>4</v>
      </c>
      <c r="F131">
        <f t="shared" ref="F131:F194" si="22">IF(E131=1,1,0)</f>
        <v>0</v>
      </c>
      <c r="G131">
        <f t="shared" ref="G131:G194" si="23">IF(E131=2,1,0)</f>
        <v>0</v>
      </c>
      <c r="H131">
        <f t="shared" ref="H131:H194" si="24">IF(E131=3,1,0)</f>
        <v>0</v>
      </c>
      <c r="I131">
        <f t="shared" ref="I131:I194" si="25">IF(E131=4,1,0)</f>
        <v>1</v>
      </c>
      <c r="J131">
        <v>1</v>
      </c>
      <c r="K131">
        <v>4.3</v>
      </c>
      <c r="L131">
        <v>9.1999999999999993</v>
      </c>
      <c r="M131">
        <v>3</v>
      </c>
      <c r="N131">
        <v>10.199999999999999</v>
      </c>
      <c r="O131" s="1">
        <f>((INT(N131)-INT(L131))*3)-(((L131-INT(L131))*10) - ((N131-INT(N131))*10))</f>
        <v>3</v>
      </c>
      <c r="P131">
        <f t="shared" ref="P131:P194" si="26">IF(O131&lt;4,1,0)</f>
        <v>1</v>
      </c>
      <c r="Q131">
        <f t="shared" si="18"/>
        <v>0</v>
      </c>
      <c r="R131">
        <f t="shared" si="19"/>
        <v>0</v>
      </c>
    </row>
    <row r="132" spans="1:18" x14ac:dyDescent="0.2">
      <c r="A132">
        <v>26413</v>
      </c>
      <c r="B132">
        <v>0</v>
      </c>
      <c r="C132">
        <f t="shared" si="20"/>
        <v>0</v>
      </c>
      <c r="D132">
        <f t="shared" si="21"/>
        <v>1</v>
      </c>
      <c r="E132">
        <v>2</v>
      </c>
      <c r="F132">
        <f t="shared" si="22"/>
        <v>0</v>
      </c>
      <c r="G132">
        <f t="shared" si="23"/>
        <v>1</v>
      </c>
      <c r="H132">
        <f t="shared" si="24"/>
        <v>0</v>
      </c>
      <c r="I132">
        <f t="shared" si="25"/>
        <v>0</v>
      </c>
      <c r="J132">
        <v>1</v>
      </c>
      <c r="K132">
        <v>2.2999999999999998</v>
      </c>
      <c r="L132">
        <v>10.199999999999999</v>
      </c>
      <c r="M132">
        <v>3.3</v>
      </c>
      <c r="N132">
        <v>12.2</v>
      </c>
      <c r="O132" s="1">
        <f>((INT(N132)-INT(L132))*3)-(((L132-INT(L132))*10) - ((N132-INT(N132))*10))</f>
        <v>6</v>
      </c>
      <c r="P132">
        <f t="shared" si="26"/>
        <v>0</v>
      </c>
      <c r="Q132">
        <f t="shared" si="18"/>
        <v>0</v>
      </c>
      <c r="R132">
        <f t="shared" si="19"/>
        <v>1</v>
      </c>
    </row>
    <row r="133" spans="1:18" x14ac:dyDescent="0.2">
      <c r="A133">
        <v>26548</v>
      </c>
      <c r="B133">
        <v>1</v>
      </c>
      <c r="C133">
        <f t="shared" si="20"/>
        <v>1</v>
      </c>
      <c r="D133">
        <f t="shared" si="21"/>
        <v>0</v>
      </c>
      <c r="E133">
        <v>3</v>
      </c>
      <c r="F133">
        <f t="shared" si="22"/>
        <v>0</v>
      </c>
      <c r="G133">
        <f t="shared" si="23"/>
        <v>0</v>
      </c>
      <c r="H133">
        <f t="shared" si="24"/>
        <v>1</v>
      </c>
      <c r="I133">
        <f t="shared" si="25"/>
        <v>0</v>
      </c>
      <c r="J133">
        <v>1</v>
      </c>
      <c r="K133">
        <v>4.3</v>
      </c>
      <c r="L133">
        <v>9</v>
      </c>
      <c r="M133">
        <v>3</v>
      </c>
      <c r="N133">
        <v>10.199999999999999</v>
      </c>
      <c r="O133" s="1">
        <f>((INT(N133)-INT(L133))*3)-(((L133-INT(L133))*10) - ((N133-INT(N133))*10))</f>
        <v>4.9999999999999929</v>
      </c>
      <c r="P133">
        <f t="shared" si="26"/>
        <v>0</v>
      </c>
      <c r="Q133">
        <f t="shared" si="18"/>
        <v>1</v>
      </c>
      <c r="R133">
        <f t="shared" si="19"/>
        <v>0</v>
      </c>
    </row>
    <row r="134" spans="1:18" x14ac:dyDescent="0.2">
      <c r="A134">
        <v>26796</v>
      </c>
      <c r="B134">
        <v>0</v>
      </c>
      <c r="C134">
        <f t="shared" si="20"/>
        <v>0</v>
      </c>
      <c r="D134">
        <f t="shared" si="21"/>
        <v>1</v>
      </c>
      <c r="E134">
        <v>4</v>
      </c>
      <c r="F134">
        <f t="shared" si="22"/>
        <v>0</v>
      </c>
      <c r="G134">
        <f t="shared" si="23"/>
        <v>0</v>
      </c>
      <c r="H134">
        <f t="shared" si="24"/>
        <v>0</v>
      </c>
      <c r="I134">
        <f t="shared" si="25"/>
        <v>1</v>
      </c>
      <c r="J134">
        <v>1</v>
      </c>
      <c r="K134">
        <v>2</v>
      </c>
      <c r="L134">
        <v>3</v>
      </c>
      <c r="M134">
        <v>3</v>
      </c>
      <c r="N134">
        <v>4.2</v>
      </c>
      <c r="O134" s="1">
        <f>((INT(N134)-INT(L134))*3)-(((L134-INT(L134))*10) - ((N134-INT(N134))*10))</f>
        <v>5.0000000000000018</v>
      </c>
      <c r="P134">
        <f t="shared" si="26"/>
        <v>0</v>
      </c>
      <c r="Q134">
        <f t="shared" si="18"/>
        <v>1</v>
      </c>
      <c r="R134">
        <f t="shared" si="19"/>
        <v>0</v>
      </c>
    </row>
    <row r="135" spans="1:18" x14ac:dyDescent="0.2">
      <c r="A135">
        <v>26961</v>
      </c>
      <c r="B135">
        <v>0</v>
      </c>
      <c r="C135">
        <f t="shared" si="20"/>
        <v>0</v>
      </c>
      <c r="D135">
        <f t="shared" si="21"/>
        <v>1</v>
      </c>
      <c r="E135">
        <v>4</v>
      </c>
      <c r="F135">
        <f t="shared" si="22"/>
        <v>0</v>
      </c>
      <c r="G135">
        <f t="shared" si="23"/>
        <v>0</v>
      </c>
      <c r="H135">
        <f t="shared" si="24"/>
        <v>0</v>
      </c>
      <c r="I135">
        <f t="shared" si="25"/>
        <v>1</v>
      </c>
      <c r="J135">
        <v>1</v>
      </c>
      <c r="K135">
        <v>4</v>
      </c>
      <c r="L135">
        <v>2.2000000000000002</v>
      </c>
      <c r="M135">
        <v>4</v>
      </c>
      <c r="N135">
        <v>4</v>
      </c>
      <c r="O135" s="1">
        <f>((INT(N135)-INT(L135))*3)-(((L135-INT(L135))*10) - ((N135-INT(N135))*10))</f>
        <v>3.9999999999999982</v>
      </c>
      <c r="P135">
        <f t="shared" si="26"/>
        <v>0</v>
      </c>
      <c r="Q135">
        <f t="shared" si="18"/>
        <v>1</v>
      </c>
      <c r="R135">
        <f t="shared" si="19"/>
        <v>0</v>
      </c>
    </row>
    <row r="136" spans="1:18" x14ac:dyDescent="0.2">
      <c r="A136">
        <v>26978</v>
      </c>
      <c r="B136">
        <v>0</v>
      </c>
      <c r="C136">
        <f t="shared" si="20"/>
        <v>0</v>
      </c>
      <c r="D136">
        <f t="shared" si="21"/>
        <v>1</v>
      </c>
      <c r="E136">
        <v>2</v>
      </c>
      <c r="F136">
        <f t="shared" si="22"/>
        <v>0</v>
      </c>
      <c r="G136">
        <f t="shared" si="23"/>
        <v>1</v>
      </c>
      <c r="H136">
        <f t="shared" si="24"/>
        <v>0</v>
      </c>
      <c r="I136">
        <f t="shared" si="25"/>
        <v>0</v>
      </c>
      <c r="J136">
        <v>1</v>
      </c>
      <c r="K136">
        <v>2.7</v>
      </c>
      <c r="L136">
        <v>9</v>
      </c>
      <c r="M136">
        <v>3.3</v>
      </c>
      <c r="N136">
        <v>12</v>
      </c>
      <c r="O136" s="1">
        <f>((INT(N136)-INT(L136))*3)-(((L136-INT(L136))*10) - ((N136-INT(N136))*10))</f>
        <v>9</v>
      </c>
      <c r="P136">
        <f t="shared" si="26"/>
        <v>0</v>
      </c>
      <c r="Q136">
        <f t="shared" si="18"/>
        <v>0</v>
      </c>
      <c r="R136">
        <f t="shared" si="19"/>
        <v>1</v>
      </c>
    </row>
    <row r="137" spans="1:18" x14ac:dyDescent="0.2">
      <c r="A137">
        <v>27310</v>
      </c>
      <c r="B137">
        <v>0</v>
      </c>
      <c r="C137">
        <f t="shared" si="20"/>
        <v>0</v>
      </c>
      <c r="D137">
        <f t="shared" si="21"/>
        <v>1</v>
      </c>
      <c r="E137">
        <v>1</v>
      </c>
      <c r="F137">
        <f t="shared" si="22"/>
        <v>1</v>
      </c>
      <c r="G137">
        <f t="shared" si="23"/>
        <v>0</v>
      </c>
      <c r="H137">
        <f t="shared" si="24"/>
        <v>0</v>
      </c>
      <c r="I137">
        <f t="shared" si="25"/>
        <v>0</v>
      </c>
      <c r="J137">
        <v>1</v>
      </c>
      <c r="K137">
        <v>3.3</v>
      </c>
      <c r="L137">
        <v>11</v>
      </c>
      <c r="M137">
        <v>3</v>
      </c>
      <c r="N137">
        <v>12.2</v>
      </c>
      <c r="O137" s="1">
        <f>((INT(N137)-INT(L137))*3)-(((L137-INT(L137))*10) - ((N137-INT(N137))*10))</f>
        <v>4.9999999999999929</v>
      </c>
      <c r="P137">
        <f t="shared" si="26"/>
        <v>0</v>
      </c>
      <c r="Q137">
        <f t="shared" si="18"/>
        <v>1</v>
      </c>
      <c r="R137">
        <f t="shared" si="19"/>
        <v>0</v>
      </c>
    </row>
    <row r="138" spans="1:18" x14ac:dyDescent="0.2">
      <c r="A138">
        <v>27312</v>
      </c>
      <c r="B138">
        <v>0</v>
      </c>
      <c r="C138">
        <f t="shared" si="20"/>
        <v>0</v>
      </c>
      <c r="D138">
        <f t="shared" si="21"/>
        <v>1</v>
      </c>
      <c r="E138">
        <v>4</v>
      </c>
      <c r="F138">
        <f t="shared" si="22"/>
        <v>0</v>
      </c>
      <c r="G138">
        <f t="shared" si="23"/>
        <v>0</v>
      </c>
      <c r="H138">
        <f t="shared" si="24"/>
        <v>0</v>
      </c>
      <c r="I138">
        <f t="shared" si="25"/>
        <v>1</v>
      </c>
      <c r="J138">
        <v>1</v>
      </c>
      <c r="K138">
        <v>3</v>
      </c>
      <c r="L138">
        <v>11</v>
      </c>
      <c r="M138">
        <v>4</v>
      </c>
      <c r="N138">
        <v>12.2</v>
      </c>
      <c r="O138" s="1">
        <f>((INT(N138)-INT(L138))*3)-(((L138-INT(L138))*10) - ((N138-INT(N138))*10))</f>
        <v>4.9999999999999929</v>
      </c>
      <c r="P138">
        <f t="shared" si="26"/>
        <v>0</v>
      </c>
      <c r="Q138">
        <f t="shared" si="18"/>
        <v>1</v>
      </c>
      <c r="R138">
        <f t="shared" si="19"/>
        <v>0</v>
      </c>
    </row>
    <row r="139" spans="1:18" x14ac:dyDescent="0.2">
      <c r="A139">
        <v>27511</v>
      </c>
      <c r="B139">
        <v>0</v>
      </c>
      <c r="C139">
        <f t="shared" si="20"/>
        <v>0</v>
      </c>
      <c r="D139">
        <f t="shared" si="21"/>
        <v>1</v>
      </c>
      <c r="E139">
        <v>3</v>
      </c>
      <c r="F139">
        <f t="shared" si="22"/>
        <v>0</v>
      </c>
      <c r="G139">
        <f t="shared" si="23"/>
        <v>0</v>
      </c>
      <c r="H139">
        <f t="shared" si="24"/>
        <v>1</v>
      </c>
      <c r="I139">
        <f t="shared" si="25"/>
        <v>0</v>
      </c>
      <c r="J139">
        <v>1</v>
      </c>
      <c r="K139">
        <v>4.3</v>
      </c>
      <c r="L139">
        <v>9</v>
      </c>
      <c r="M139">
        <v>3.3</v>
      </c>
      <c r="N139">
        <v>10</v>
      </c>
      <c r="O139" s="1">
        <f>((INT(N139)-INT(L139))*3)-(((L139-INT(L139))*10) - ((N139-INT(N139))*10))</f>
        <v>3</v>
      </c>
      <c r="P139">
        <f t="shared" si="26"/>
        <v>1</v>
      </c>
      <c r="Q139">
        <f t="shared" si="18"/>
        <v>0</v>
      </c>
      <c r="R139">
        <f t="shared" si="19"/>
        <v>0</v>
      </c>
    </row>
    <row r="140" spans="1:18" x14ac:dyDescent="0.2">
      <c r="A140">
        <v>27942</v>
      </c>
      <c r="B140">
        <v>0</v>
      </c>
      <c r="C140">
        <f t="shared" si="20"/>
        <v>0</v>
      </c>
      <c r="D140">
        <f t="shared" si="21"/>
        <v>1</v>
      </c>
      <c r="E140">
        <v>2</v>
      </c>
      <c r="F140">
        <f t="shared" si="22"/>
        <v>0</v>
      </c>
      <c r="G140">
        <f t="shared" si="23"/>
        <v>1</v>
      </c>
      <c r="H140">
        <f t="shared" si="24"/>
        <v>0</v>
      </c>
      <c r="I140">
        <f t="shared" si="25"/>
        <v>0</v>
      </c>
      <c r="J140">
        <v>1</v>
      </c>
      <c r="K140">
        <v>2.2999999999999998</v>
      </c>
      <c r="L140">
        <v>7</v>
      </c>
      <c r="M140">
        <v>3</v>
      </c>
      <c r="N140">
        <v>8</v>
      </c>
      <c r="O140" s="1">
        <f>((INT(N140)-INT(L140))*3)-(((L140-INT(L140))*10) - ((N140-INT(N140))*10))</f>
        <v>3</v>
      </c>
      <c r="P140">
        <f t="shared" si="26"/>
        <v>1</v>
      </c>
      <c r="Q140">
        <f t="shared" si="18"/>
        <v>0</v>
      </c>
      <c r="R140">
        <f t="shared" si="19"/>
        <v>0</v>
      </c>
    </row>
    <row r="141" spans="1:18" x14ac:dyDescent="0.2">
      <c r="A141">
        <v>27978</v>
      </c>
      <c r="B141">
        <v>0</v>
      </c>
      <c r="C141">
        <f t="shared" si="20"/>
        <v>0</v>
      </c>
      <c r="D141">
        <f t="shared" si="21"/>
        <v>1</v>
      </c>
      <c r="E141">
        <v>2</v>
      </c>
      <c r="F141">
        <f t="shared" si="22"/>
        <v>0</v>
      </c>
      <c r="G141">
        <f t="shared" si="23"/>
        <v>1</v>
      </c>
      <c r="H141">
        <f t="shared" si="24"/>
        <v>0</v>
      </c>
      <c r="I141">
        <f t="shared" si="25"/>
        <v>0</v>
      </c>
      <c r="J141">
        <v>1</v>
      </c>
      <c r="K141">
        <v>3.7</v>
      </c>
      <c r="L141">
        <v>9.1999999999999993</v>
      </c>
      <c r="M141">
        <v>4</v>
      </c>
      <c r="N141">
        <v>11.2</v>
      </c>
      <c r="O141" s="1">
        <f>((INT(N141)-INT(L141))*3)-(((L141-INT(L141))*10) - ((N141-INT(N141))*10))</f>
        <v>6</v>
      </c>
      <c r="P141">
        <f t="shared" si="26"/>
        <v>0</v>
      </c>
      <c r="Q141">
        <f t="shared" si="18"/>
        <v>0</v>
      </c>
      <c r="R141">
        <f t="shared" si="19"/>
        <v>1</v>
      </c>
    </row>
    <row r="142" spans="1:18" x14ac:dyDescent="0.2">
      <c r="A142">
        <v>28002</v>
      </c>
      <c r="B142">
        <v>1</v>
      </c>
      <c r="C142">
        <f t="shared" si="20"/>
        <v>1</v>
      </c>
      <c r="D142">
        <f t="shared" si="21"/>
        <v>0</v>
      </c>
      <c r="E142">
        <v>4</v>
      </c>
      <c r="F142">
        <f t="shared" si="22"/>
        <v>0</v>
      </c>
      <c r="G142">
        <f t="shared" si="23"/>
        <v>0</v>
      </c>
      <c r="H142">
        <f t="shared" si="24"/>
        <v>0</v>
      </c>
      <c r="I142">
        <f t="shared" si="25"/>
        <v>1</v>
      </c>
      <c r="J142">
        <v>1</v>
      </c>
      <c r="K142">
        <v>3</v>
      </c>
      <c r="L142">
        <v>8.1</v>
      </c>
      <c r="M142">
        <v>3.3</v>
      </c>
      <c r="N142">
        <v>9.1999999999999993</v>
      </c>
      <c r="O142" s="1">
        <f>((INT(N142)-INT(L142))*3)-(((L142-INT(L142))*10) - ((N142-INT(N142))*10))</f>
        <v>3.9999999999999964</v>
      </c>
      <c r="P142">
        <f t="shared" si="26"/>
        <v>0</v>
      </c>
      <c r="Q142">
        <f t="shared" si="18"/>
        <v>1</v>
      </c>
      <c r="R142">
        <f t="shared" si="19"/>
        <v>0</v>
      </c>
    </row>
    <row r="143" spans="1:18" x14ac:dyDescent="0.2">
      <c r="A143">
        <v>28749</v>
      </c>
      <c r="B143">
        <v>0</v>
      </c>
      <c r="C143">
        <f t="shared" si="20"/>
        <v>0</v>
      </c>
      <c r="D143">
        <f t="shared" si="21"/>
        <v>1</v>
      </c>
      <c r="E143">
        <v>4</v>
      </c>
      <c r="F143">
        <f t="shared" si="22"/>
        <v>0</v>
      </c>
      <c r="G143">
        <f t="shared" si="23"/>
        <v>0</v>
      </c>
      <c r="H143">
        <f t="shared" si="24"/>
        <v>0</v>
      </c>
      <c r="I143">
        <f t="shared" si="25"/>
        <v>1</v>
      </c>
      <c r="J143">
        <v>1</v>
      </c>
      <c r="K143">
        <v>4</v>
      </c>
      <c r="L143">
        <v>7.2</v>
      </c>
      <c r="M143">
        <v>4.3</v>
      </c>
      <c r="N143">
        <v>8.1999999999999993</v>
      </c>
      <c r="O143" s="1">
        <f>((INT(N143)-INT(L143))*3)-(((L143-INT(L143))*10) - ((N143-INT(N143))*10))</f>
        <v>2.9999999999999911</v>
      </c>
      <c r="P143">
        <f t="shared" si="26"/>
        <v>1</v>
      </c>
      <c r="Q143">
        <f t="shared" si="18"/>
        <v>0</v>
      </c>
      <c r="R143">
        <f t="shared" si="19"/>
        <v>0</v>
      </c>
    </row>
    <row r="144" spans="1:18" x14ac:dyDescent="0.2">
      <c r="A144">
        <v>29232</v>
      </c>
      <c r="B144">
        <v>0</v>
      </c>
      <c r="C144">
        <f t="shared" si="20"/>
        <v>0</v>
      </c>
      <c r="D144">
        <f t="shared" si="21"/>
        <v>1</v>
      </c>
      <c r="E144">
        <v>2</v>
      </c>
      <c r="F144">
        <f t="shared" si="22"/>
        <v>0</v>
      </c>
      <c r="G144">
        <f t="shared" si="23"/>
        <v>1</v>
      </c>
      <c r="H144">
        <f t="shared" si="24"/>
        <v>0</v>
      </c>
      <c r="I144">
        <f t="shared" si="25"/>
        <v>0</v>
      </c>
      <c r="J144">
        <v>1</v>
      </c>
      <c r="K144">
        <v>4</v>
      </c>
      <c r="L144">
        <v>9</v>
      </c>
      <c r="M144">
        <v>3</v>
      </c>
      <c r="N144">
        <v>10</v>
      </c>
      <c r="O144" s="1">
        <f>((INT(N144)-INT(L144))*3)-(((L144-INT(L144))*10) - ((N144-INT(N144))*10))</f>
        <v>3</v>
      </c>
      <c r="P144">
        <f t="shared" si="26"/>
        <v>1</v>
      </c>
      <c r="Q144">
        <f t="shared" si="18"/>
        <v>0</v>
      </c>
      <c r="R144">
        <f t="shared" si="19"/>
        <v>0</v>
      </c>
    </row>
    <row r="145" spans="1:18" x14ac:dyDescent="0.2">
      <c r="A145">
        <v>29307</v>
      </c>
      <c r="B145">
        <v>0</v>
      </c>
      <c r="C145">
        <f t="shared" si="20"/>
        <v>0</v>
      </c>
      <c r="D145">
        <f t="shared" si="21"/>
        <v>1</v>
      </c>
      <c r="E145">
        <v>1</v>
      </c>
      <c r="F145">
        <f t="shared" si="22"/>
        <v>1</v>
      </c>
      <c r="G145">
        <f t="shared" si="23"/>
        <v>0</v>
      </c>
      <c r="H145">
        <f t="shared" si="24"/>
        <v>0</v>
      </c>
      <c r="I145">
        <f t="shared" si="25"/>
        <v>0</v>
      </c>
      <c r="J145">
        <v>1</v>
      </c>
      <c r="K145">
        <v>3.3</v>
      </c>
      <c r="L145">
        <v>3</v>
      </c>
      <c r="M145">
        <v>2.2999999999999998</v>
      </c>
      <c r="N145">
        <v>5</v>
      </c>
      <c r="O145" s="1">
        <f>((INT(N145)-INT(L145))*3)-(((L145-INT(L145))*10) - ((N145-INT(N145))*10))</f>
        <v>6</v>
      </c>
      <c r="P145">
        <f t="shared" si="26"/>
        <v>0</v>
      </c>
      <c r="Q145">
        <f t="shared" si="18"/>
        <v>0</v>
      </c>
      <c r="R145">
        <f t="shared" si="19"/>
        <v>1</v>
      </c>
    </row>
    <row r="146" spans="1:18" x14ac:dyDescent="0.2">
      <c r="A146">
        <v>30038</v>
      </c>
      <c r="B146">
        <v>0</v>
      </c>
      <c r="C146">
        <f t="shared" si="20"/>
        <v>0</v>
      </c>
      <c r="D146">
        <f t="shared" si="21"/>
        <v>1</v>
      </c>
      <c r="E146">
        <v>3</v>
      </c>
      <c r="F146">
        <f t="shared" si="22"/>
        <v>0</v>
      </c>
      <c r="G146">
        <f t="shared" si="23"/>
        <v>0</v>
      </c>
      <c r="H146">
        <f t="shared" si="24"/>
        <v>1</v>
      </c>
      <c r="I146">
        <f t="shared" si="25"/>
        <v>0</v>
      </c>
      <c r="J146">
        <v>1</v>
      </c>
      <c r="K146">
        <v>4.3</v>
      </c>
      <c r="L146">
        <v>10.199999999999999</v>
      </c>
      <c r="M146">
        <v>4.3</v>
      </c>
      <c r="N146">
        <v>11.2</v>
      </c>
      <c r="O146" s="1">
        <f>((INT(N146)-INT(L146))*3)-(((L146-INT(L146))*10) - ((N146-INT(N146))*10))</f>
        <v>3</v>
      </c>
      <c r="P146">
        <f t="shared" si="26"/>
        <v>1</v>
      </c>
      <c r="Q146">
        <f t="shared" si="18"/>
        <v>0</v>
      </c>
      <c r="R146">
        <f t="shared" si="19"/>
        <v>0</v>
      </c>
    </row>
    <row r="147" spans="1:18" x14ac:dyDescent="0.2">
      <c r="A147">
        <v>30094</v>
      </c>
      <c r="B147">
        <v>0</v>
      </c>
      <c r="C147">
        <f t="shared" si="20"/>
        <v>0</v>
      </c>
      <c r="D147">
        <f t="shared" si="21"/>
        <v>1</v>
      </c>
      <c r="E147">
        <v>2</v>
      </c>
      <c r="F147">
        <f t="shared" si="22"/>
        <v>0</v>
      </c>
      <c r="G147">
        <f t="shared" si="23"/>
        <v>1</v>
      </c>
      <c r="H147">
        <f t="shared" si="24"/>
        <v>0</v>
      </c>
      <c r="I147">
        <f t="shared" si="25"/>
        <v>0</v>
      </c>
      <c r="J147">
        <v>1</v>
      </c>
      <c r="K147">
        <v>2</v>
      </c>
      <c r="L147">
        <v>6</v>
      </c>
      <c r="M147">
        <v>3</v>
      </c>
      <c r="N147">
        <v>8.1</v>
      </c>
      <c r="O147" s="1">
        <f>((INT(N147)-INT(L147))*3)-(((L147-INT(L147))*10) - ((N147-INT(N147))*10))</f>
        <v>6.9999999999999964</v>
      </c>
      <c r="P147">
        <f t="shared" si="26"/>
        <v>0</v>
      </c>
      <c r="Q147">
        <f t="shared" si="18"/>
        <v>0</v>
      </c>
      <c r="R147">
        <f t="shared" si="19"/>
        <v>1</v>
      </c>
    </row>
    <row r="148" spans="1:18" x14ac:dyDescent="0.2">
      <c r="A148">
        <v>30324</v>
      </c>
      <c r="B148">
        <v>0</v>
      </c>
      <c r="C148">
        <f t="shared" si="20"/>
        <v>0</v>
      </c>
      <c r="D148">
        <f t="shared" si="21"/>
        <v>1</v>
      </c>
      <c r="E148">
        <v>4</v>
      </c>
      <c r="F148">
        <f t="shared" si="22"/>
        <v>0</v>
      </c>
      <c r="G148">
        <f t="shared" si="23"/>
        <v>0</v>
      </c>
      <c r="H148">
        <f t="shared" si="24"/>
        <v>0</v>
      </c>
      <c r="I148">
        <f t="shared" si="25"/>
        <v>1</v>
      </c>
      <c r="J148">
        <v>1</v>
      </c>
      <c r="K148">
        <v>3.7</v>
      </c>
      <c r="L148">
        <v>4.2</v>
      </c>
      <c r="M148">
        <v>3.3</v>
      </c>
      <c r="N148">
        <v>6</v>
      </c>
      <c r="O148" s="1">
        <f>((INT(N148)-INT(L148))*3)-(((L148-INT(L148))*10) - ((N148-INT(N148))*10))</f>
        <v>3.9999999999999982</v>
      </c>
      <c r="P148">
        <f t="shared" si="26"/>
        <v>0</v>
      </c>
      <c r="Q148">
        <f t="shared" si="18"/>
        <v>1</v>
      </c>
      <c r="R148">
        <f t="shared" si="19"/>
        <v>0</v>
      </c>
    </row>
    <row r="149" spans="1:18" x14ac:dyDescent="0.2">
      <c r="A149">
        <v>30417</v>
      </c>
      <c r="B149">
        <v>0</v>
      </c>
      <c r="C149">
        <f t="shared" si="20"/>
        <v>0</v>
      </c>
      <c r="D149">
        <f t="shared" si="21"/>
        <v>1</v>
      </c>
      <c r="E149">
        <v>2</v>
      </c>
      <c r="F149">
        <f t="shared" si="22"/>
        <v>0</v>
      </c>
      <c r="G149">
        <f t="shared" si="23"/>
        <v>1</v>
      </c>
      <c r="H149">
        <f t="shared" si="24"/>
        <v>0</v>
      </c>
      <c r="I149">
        <f t="shared" si="25"/>
        <v>0</v>
      </c>
      <c r="J149">
        <v>1</v>
      </c>
      <c r="K149">
        <v>3.3</v>
      </c>
      <c r="L149">
        <v>11</v>
      </c>
      <c r="M149">
        <v>3</v>
      </c>
      <c r="N149">
        <v>12.2</v>
      </c>
      <c r="O149" s="1">
        <f>((INT(N149)-INT(L149))*3)-(((L149-INT(L149))*10) - ((N149-INT(N149))*10))</f>
        <v>4.9999999999999929</v>
      </c>
      <c r="P149">
        <f t="shared" si="26"/>
        <v>0</v>
      </c>
      <c r="Q149">
        <f t="shared" si="18"/>
        <v>1</v>
      </c>
      <c r="R149">
        <f t="shared" si="19"/>
        <v>0</v>
      </c>
    </row>
    <row r="150" spans="1:18" x14ac:dyDescent="0.2">
      <c r="A150">
        <v>30440</v>
      </c>
      <c r="B150">
        <v>0</v>
      </c>
      <c r="C150">
        <f t="shared" si="20"/>
        <v>0</v>
      </c>
      <c r="D150">
        <f t="shared" si="21"/>
        <v>1</v>
      </c>
      <c r="E150">
        <v>4</v>
      </c>
      <c r="F150">
        <f t="shared" si="22"/>
        <v>0</v>
      </c>
      <c r="G150">
        <f t="shared" si="23"/>
        <v>0</v>
      </c>
      <c r="H150">
        <f t="shared" si="24"/>
        <v>0</v>
      </c>
      <c r="I150">
        <f t="shared" si="25"/>
        <v>1</v>
      </c>
      <c r="J150">
        <v>1</v>
      </c>
      <c r="K150">
        <v>2</v>
      </c>
      <c r="L150">
        <v>9</v>
      </c>
      <c r="M150">
        <v>2.7</v>
      </c>
      <c r="N150">
        <v>10.199999999999999</v>
      </c>
      <c r="O150" s="1">
        <f>((INT(N150)-INT(L150))*3)-(((L150-INT(L150))*10) - ((N150-INT(N150))*10))</f>
        <v>4.9999999999999929</v>
      </c>
      <c r="P150">
        <f t="shared" si="26"/>
        <v>0</v>
      </c>
      <c r="Q150">
        <f t="shared" si="18"/>
        <v>1</v>
      </c>
      <c r="R150">
        <f t="shared" si="19"/>
        <v>0</v>
      </c>
    </row>
    <row r="151" spans="1:18" x14ac:dyDescent="0.2">
      <c r="A151">
        <v>30577</v>
      </c>
      <c r="B151">
        <v>0</v>
      </c>
      <c r="C151">
        <f t="shared" si="20"/>
        <v>0</v>
      </c>
      <c r="D151">
        <f t="shared" si="21"/>
        <v>1</v>
      </c>
      <c r="E151">
        <v>4</v>
      </c>
      <c r="F151">
        <f t="shared" si="22"/>
        <v>0</v>
      </c>
      <c r="G151">
        <f t="shared" si="23"/>
        <v>0</v>
      </c>
      <c r="H151">
        <f t="shared" si="24"/>
        <v>0</v>
      </c>
      <c r="I151">
        <f t="shared" si="25"/>
        <v>1</v>
      </c>
      <c r="J151">
        <v>1</v>
      </c>
      <c r="K151">
        <v>2</v>
      </c>
      <c r="L151">
        <v>8.1</v>
      </c>
      <c r="M151">
        <v>2.7</v>
      </c>
      <c r="N151">
        <v>10.199999999999999</v>
      </c>
      <c r="O151" s="1">
        <f>((INT(N151)-INT(L151))*3)-(((L151-INT(L151))*10) - ((N151-INT(N151))*10))</f>
        <v>6.9999999999999964</v>
      </c>
      <c r="P151">
        <f t="shared" si="26"/>
        <v>0</v>
      </c>
      <c r="Q151">
        <f t="shared" ref="Q151:Q214" si="27">IF(AND(O151&gt;3,O151&lt;6),1,0)</f>
        <v>0</v>
      </c>
      <c r="R151">
        <f t="shared" ref="R151:R214" si="28">IF(O151&gt;5,1,0)</f>
        <v>1</v>
      </c>
    </row>
    <row r="152" spans="1:18" x14ac:dyDescent="0.2">
      <c r="A152">
        <v>31003</v>
      </c>
      <c r="B152">
        <v>0</v>
      </c>
      <c r="C152">
        <f t="shared" si="20"/>
        <v>0</v>
      </c>
      <c r="D152">
        <f t="shared" si="21"/>
        <v>1</v>
      </c>
      <c r="E152">
        <v>1</v>
      </c>
      <c r="F152">
        <f t="shared" si="22"/>
        <v>1</v>
      </c>
      <c r="G152">
        <f t="shared" si="23"/>
        <v>0</v>
      </c>
      <c r="H152">
        <f t="shared" si="24"/>
        <v>0</v>
      </c>
      <c r="I152">
        <f t="shared" si="25"/>
        <v>0</v>
      </c>
      <c r="J152">
        <v>0</v>
      </c>
      <c r="K152">
        <v>4.3</v>
      </c>
      <c r="L152">
        <v>10</v>
      </c>
      <c r="M152">
        <v>4.3</v>
      </c>
      <c r="N152">
        <v>12</v>
      </c>
      <c r="O152" s="1">
        <f>((INT(N152)-INT(L152))*3)-(((L152-INT(L152))*10) - ((N152-INT(N152))*10))</f>
        <v>6</v>
      </c>
      <c r="P152">
        <f t="shared" si="26"/>
        <v>0</v>
      </c>
      <c r="Q152">
        <f t="shared" si="27"/>
        <v>0</v>
      </c>
      <c r="R152">
        <f t="shared" si="28"/>
        <v>1</v>
      </c>
    </row>
    <row r="153" spans="1:18" x14ac:dyDescent="0.2">
      <c r="A153">
        <v>31348</v>
      </c>
      <c r="B153">
        <v>0</v>
      </c>
      <c r="C153">
        <f t="shared" si="20"/>
        <v>0</v>
      </c>
      <c r="D153">
        <f t="shared" si="21"/>
        <v>1</v>
      </c>
      <c r="E153">
        <v>1</v>
      </c>
      <c r="F153">
        <f t="shared" si="22"/>
        <v>1</v>
      </c>
      <c r="G153">
        <f t="shared" si="23"/>
        <v>0</v>
      </c>
      <c r="H153">
        <f t="shared" si="24"/>
        <v>0</v>
      </c>
      <c r="I153">
        <f t="shared" si="25"/>
        <v>0</v>
      </c>
      <c r="J153">
        <v>1</v>
      </c>
      <c r="K153">
        <v>4.3</v>
      </c>
      <c r="L153">
        <v>10.199999999999999</v>
      </c>
      <c r="M153">
        <v>3.3</v>
      </c>
      <c r="N153">
        <v>11.2</v>
      </c>
      <c r="O153" s="1">
        <f>((INT(N153)-INT(L153))*3)-(((L153-INT(L153))*10) - ((N153-INT(N153))*10))</f>
        <v>3</v>
      </c>
      <c r="P153">
        <f t="shared" si="26"/>
        <v>1</v>
      </c>
      <c r="Q153">
        <f t="shared" si="27"/>
        <v>0</v>
      </c>
      <c r="R153">
        <f t="shared" si="28"/>
        <v>0</v>
      </c>
    </row>
    <row r="154" spans="1:18" x14ac:dyDescent="0.2">
      <c r="A154">
        <v>31428</v>
      </c>
      <c r="B154">
        <v>1</v>
      </c>
      <c r="C154">
        <f t="shared" si="20"/>
        <v>1</v>
      </c>
      <c r="D154">
        <f t="shared" si="21"/>
        <v>0</v>
      </c>
      <c r="E154">
        <v>1</v>
      </c>
      <c r="F154">
        <f t="shared" si="22"/>
        <v>1</v>
      </c>
      <c r="G154">
        <f t="shared" si="23"/>
        <v>0</v>
      </c>
      <c r="H154">
        <f t="shared" si="24"/>
        <v>0</v>
      </c>
      <c r="I154">
        <f t="shared" si="25"/>
        <v>0</v>
      </c>
      <c r="J154">
        <v>0</v>
      </c>
      <c r="K154">
        <v>2</v>
      </c>
      <c r="L154">
        <v>1</v>
      </c>
      <c r="M154">
        <v>4</v>
      </c>
      <c r="N154">
        <v>1.1000000000000001</v>
      </c>
      <c r="O154" s="1">
        <f>((INT(N154)-INT(L154))*3)-(((L154-INT(L154))*10) - ((N154-INT(N154))*10))</f>
        <v>1.0000000000000009</v>
      </c>
      <c r="P154">
        <f t="shared" si="26"/>
        <v>1</v>
      </c>
      <c r="Q154">
        <f t="shared" si="27"/>
        <v>0</v>
      </c>
      <c r="R154">
        <f t="shared" si="28"/>
        <v>0</v>
      </c>
    </row>
    <row r="155" spans="1:18" x14ac:dyDescent="0.2">
      <c r="A155">
        <v>31503</v>
      </c>
      <c r="B155">
        <v>0</v>
      </c>
      <c r="C155">
        <f t="shared" si="20"/>
        <v>0</v>
      </c>
      <c r="D155">
        <f t="shared" si="21"/>
        <v>1</v>
      </c>
      <c r="E155">
        <v>4</v>
      </c>
      <c r="F155">
        <f t="shared" si="22"/>
        <v>0</v>
      </c>
      <c r="G155">
        <f t="shared" si="23"/>
        <v>0</v>
      </c>
      <c r="H155">
        <f t="shared" si="24"/>
        <v>0</v>
      </c>
      <c r="I155">
        <f t="shared" si="25"/>
        <v>1</v>
      </c>
      <c r="J155">
        <v>0</v>
      </c>
      <c r="K155">
        <v>3</v>
      </c>
      <c r="L155">
        <v>2</v>
      </c>
      <c r="M155">
        <v>3.3</v>
      </c>
      <c r="N155">
        <v>4</v>
      </c>
      <c r="O155" s="1">
        <f>((INT(N155)-INT(L155))*3)-(((L155-INT(L155))*10) - ((N155-INT(N155))*10))</f>
        <v>6</v>
      </c>
      <c r="P155">
        <f t="shared" si="26"/>
        <v>0</v>
      </c>
      <c r="Q155">
        <f t="shared" si="27"/>
        <v>0</v>
      </c>
      <c r="R155">
        <f t="shared" si="28"/>
        <v>1</v>
      </c>
    </row>
    <row r="156" spans="1:18" x14ac:dyDescent="0.2">
      <c r="A156">
        <v>31516</v>
      </c>
      <c r="B156">
        <v>0</v>
      </c>
      <c r="C156">
        <f t="shared" si="20"/>
        <v>0</v>
      </c>
      <c r="D156">
        <f t="shared" si="21"/>
        <v>1</v>
      </c>
      <c r="E156">
        <v>4</v>
      </c>
      <c r="F156">
        <f t="shared" si="22"/>
        <v>0</v>
      </c>
      <c r="G156">
        <f t="shared" si="23"/>
        <v>0</v>
      </c>
      <c r="H156">
        <f t="shared" si="24"/>
        <v>0</v>
      </c>
      <c r="I156">
        <f t="shared" si="25"/>
        <v>1</v>
      </c>
      <c r="J156">
        <v>0</v>
      </c>
      <c r="K156">
        <v>2.2999999999999998</v>
      </c>
      <c r="L156">
        <v>8</v>
      </c>
      <c r="M156">
        <v>2</v>
      </c>
      <c r="N156">
        <v>10</v>
      </c>
      <c r="O156" s="1">
        <f>((INT(N156)-INT(L156))*3)-(((L156-INT(L156))*10) - ((N156-INT(N156))*10))</f>
        <v>6</v>
      </c>
      <c r="P156">
        <f t="shared" si="26"/>
        <v>0</v>
      </c>
      <c r="Q156">
        <f t="shared" si="27"/>
        <v>0</v>
      </c>
      <c r="R156">
        <f t="shared" si="28"/>
        <v>1</v>
      </c>
    </row>
    <row r="157" spans="1:18" x14ac:dyDescent="0.2">
      <c r="A157">
        <v>31734</v>
      </c>
      <c r="B157">
        <v>0</v>
      </c>
      <c r="C157">
        <f t="shared" si="20"/>
        <v>0</v>
      </c>
      <c r="D157">
        <f t="shared" si="21"/>
        <v>1</v>
      </c>
      <c r="E157">
        <v>4</v>
      </c>
      <c r="F157">
        <f t="shared" si="22"/>
        <v>0</v>
      </c>
      <c r="G157">
        <f t="shared" si="23"/>
        <v>0</v>
      </c>
      <c r="H157">
        <f t="shared" si="24"/>
        <v>0</v>
      </c>
      <c r="I157">
        <f t="shared" si="25"/>
        <v>1</v>
      </c>
      <c r="J157">
        <v>0</v>
      </c>
      <c r="K157">
        <v>4</v>
      </c>
      <c r="L157">
        <v>9</v>
      </c>
      <c r="M157">
        <v>4</v>
      </c>
      <c r="N157">
        <v>11</v>
      </c>
      <c r="O157" s="1">
        <f>((INT(N157)-INT(L157))*3)-(((L157-INT(L157))*10) - ((N157-INT(N157))*10))</f>
        <v>6</v>
      </c>
      <c r="P157">
        <f t="shared" si="26"/>
        <v>0</v>
      </c>
      <c r="Q157">
        <f t="shared" si="27"/>
        <v>0</v>
      </c>
      <c r="R157">
        <f t="shared" si="28"/>
        <v>1</v>
      </c>
    </row>
    <row r="158" spans="1:18" x14ac:dyDescent="0.2">
      <c r="A158">
        <v>32007</v>
      </c>
      <c r="B158">
        <v>0</v>
      </c>
      <c r="C158">
        <f t="shared" si="20"/>
        <v>0</v>
      </c>
      <c r="D158">
        <f t="shared" si="21"/>
        <v>1</v>
      </c>
      <c r="E158">
        <v>3</v>
      </c>
      <c r="F158">
        <f t="shared" si="22"/>
        <v>0</v>
      </c>
      <c r="G158">
        <f t="shared" si="23"/>
        <v>0</v>
      </c>
      <c r="H158">
        <f t="shared" si="24"/>
        <v>1</v>
      </c>
      <c r="I158">
        <f t="shared" si="25"/>
        <v>0</v>
      </c>
      <c r="J158">
        <v>0</v>
      </c>
      <c r="K158">
        <v>4</v>
      </c>
      <c r="L158">
        <v>9</v>
      </c>
      <c r="M158">
        <v>4</v>
      </c>
      <c r="N158">
        <v>11</v>
      </c>
      <c r="O158" s="1">
        <f>((INT(N158)-INT(L158))*3)-(((L158-INT(L158))*10) - ((N158-INT(N158))*10))</f>
        <v>6</v>
      </c>
      <c r="P158">
        <f t="shared" si="26"/>
        <v>0</v>
      </c>
      <c r="Q158">
        <f t="shared" si="27"/>
        <v>0</v>
      </c>
      <c r="R158">
        <f t="shared" si="28"/>
        <v>1</v>
      </c>
    </row>
    <row r="159" spans="1:18" x14ac:dyDescent="0.2">
      <c r="A159">
        <v>32053</v>
      </c>
      <c r="B159">
        <v>1</v>
      </c>
      <c r="C159">
        <f t="shared" si="20"/>
        <v>1</v>
      </c>
      <c r="D159">
        <f t="shared" si="21"/>
        <v>0</v>
      </c>
      <c r="E159">
        <v>4</v>
      </c>
      <c r="F159">
        <f t="shared" si="22"/>
        <v>0</v>
      </c>
      <c r="G159">
        <f t="shared" si="23"/>
        <v>0</v>
      </c>
      <c r="H159">
        <f t="shared" si="24"/>
        <v>0</v>
      </c>
      <c r="I159">
        <f t="shared" si="25"/>
        <v>1</v>
      </c>
      <c r="J159">
        <v>1</v>
      </c>
      <c r="K159">
        <v>4</v>
      </c>
      <c r="L159">
        <v>9.1999999999999993</v>
      </c>
      <c r="M159">
        <v>3.3</v>
      </c>
      <c r="N159">
        <v>11.2</v>
      </c>
      <c r="O159" s="1">
        <f>((INT(N159)-INT(L159))*3)-(((L159-INT(L159))*10) - ((N159-INT(N159))*10))</f>
        <v>6</v>
      </c>
      <c r="P159">
        <f t="shared" si="26"/>
        <v>0</v>
      </c>
      <c r="Q159">
        <f t="shared" si="27"/>
        <v>0</v>
      </c>
      <c r="R159">
        <f t="shared" si="28"/>
        <v>1</v>
      </c>
    </row>
    <row r="160" spans="1:18" x14ac:dyDescent="0.2">
      <c r="A160">
        <v>32698</v>
      </c>
      <c r="B160">
        <v>0</v>
      </c>
      <c r="C160">
        <f t="shared" si="20"/>
        <v>0</v>
      </c>
      <c r="D160">
        <f t="shared" si="21"/>
        <v>1</v>
      </c>
      <c r="E160">
        <v>4</v>
      </c>
      <c r="F160">
        <f t="shared" si="22"/>
        <v>0</v>
      </c>
      <c r="G160">
        <f t="shared" si="23"/>
        <v>0</v>
      </c>
      <c r="H160">
        <f t="shared" si="24"/>
        <v>0</v>
      </c>
      <c r="I160">
        <f t="shared" si="25"/>
        <v>1</v>
      </c>
      <c r="J160">
        <v>0</v>
      </c>
      <c r="K160">
        <v>4.3</v>
      </c>
      <c r="L160">
        <v>11.1</v>
      </c>
      <c r="M160">
        <v>4</v>
      </c>
      <c r="N160">
        <v>12.2</v>
      </c>
      <c r="O160" s="1">
        <f>((INT(N160)-INT(L160))*3)-(((L160-INT(L160))*10) - ((N160-INT(N160))*10))</f>
        <v>3.9999999999999964</v>
      </c>
      <c r="P160">
        <f t="shared" si="26"/>
        <v>0</v>
      </c>
      <c r="Q160">
        <f t="shared" si="27"/>
        <v>1</v>
      </c>
      <c r="R160">
        <f t="shared" si="28"/>
        <v>0</v>
      </c>
    </row>
    <row r="161" spans="1:18" x14ac:dyDescent="0.2">
      <c r="A161">
        <v>32734</v>
      </c>
      <c r="B161">
        <v>0</v>
      </c>
      <c r="C161">
        <f t="shared" si="20"/>
        <v>0</v>
      </c>
      <c r="D161">
        <f t="shared" si="21"/>
        <v>1</v>
      </c>
      <c r="E161">
        <v>4</v>
      </c>
      <c r="F161">
        <f t="shared" si="22"/>
        <v>0</v>
      </c>
      <c r="G161">
        <f t="shared" si="23"/>
        <v>0</v>
      </c>
      <c r="H161">
        <f t="shared" si="24"/>
        <v>0</v>
      </c>
      <c r="I161">
        <f t="shared" si="25"/>
        <v>1</v>
      </c>
      <c r="J161">
        <v>0</v>
      </c>
      <c r="K161">
        <v>3</v>
      </c>
      <c r="L161">
        <v>4.2</v>
      </c>
      <c r="M161">
        <v>4.3</v>
      </c>
      <c r="N161">
        <v>6.2</v>
      </c>
      <c r="O161" s="1">
        <f>((INT(N161)-INT(L161))*3)-(((L161-INT(L161))*10) - ((N161-INT(N161))*10))</f>
        <v>6</v>
      </c>
      <c r="P161">
        <f t="shared" si="26"/>
        <v>0</v>
      </c>
      <c r="Q161">
        <f t="shared" si="27"/>
        <v>0</v>
      </c>
      <c r="R161">
        <f t="shared" si="28"/>
        <v>1</v>
      </c>
    </row>
    <row r="162" spans="1:18" x14ac:dyDescent="0.2">
      <c r="A162">
        <v>32736</v>
      </c>
      <c r="B162">
        <v>0</v>
      </c>
      <c r="C162">
        <f t="shared" si="20"/>
        <v>0</v>
      </c>
      <c r="D162">
        <f t="shared" si="21"/>
        <v>1</v>
      </c>
      <c r="E162">
        <v>3</v>
      </c>
      <c r="F162">
        <f t="shared" si="22"/>
        <v>0</v>
      </c>
      <c r="G162">
        <f t="shared" si="23"/>
        <v>0</v>
      </c>
      <c r="H162">
        <f t="shared" si="24"/>
        <v>1</v>
      </c>
      <c r="I162">
        <f t="shared" si="25"/>
        <v>0</v>
      </c>
      <c r="J162">
        <v>1</v>
      </c>
      <c r="K162">
        <v>3</v>
      </c>
      <c r="L162">
        <v>9</v>
      </c>
      <c r="M162">
        <v>3</v>
      </c>
      <c r="N162">
        <v>10.1</v>
      </c>
      <c r="O162" s="1">
        <f>((INT(N162)-INT(L162))*3)-(((L162-INT(L162))*10) - ((N162-INT(N162))*10))</f>
        <v>3.9999999999999964</v>
      </c>
      <c r="P162">
        <f t="shared" si="26"/>
        <v>0</v>
      </c>
      <c r="Q162">
        <f t="shared" si="27"/>
        <v>1</v>
      </c>
      <c r="R162">
        <f t="shared" si="28"/>
        <v>0</v>
      </c>
    </row>
    <row r="163" spans="1:18" x14ac:dyDescent="0.2">
      <c r="A163">
        <v>33058</v>
      </c>
      <c r="B163">
        <v>0</v>
      </c>
      <c r="C163">
        <f t="shared" si="20"/>
        <v>0</v>
      </c>
      <c r="D163">
        <f t="shared" si="21"/>
        <v>1</v>
      </c>
      <c r="E163">
        <v>1</v>
      </c>
      <c r="F163">
        <f t="shared" si="22"/>
        <v>1</v>
      </c>
      <c r="G163">
        <f t="shared" si="23"/>
        <v>0</v>
      </c>
      <c r="H163">
        <f t="shared" si="24"/>
        <v>0</v>
      </c>
      <c r="I163">
        <f t="shared" si="25"/>
        <v>0</v>
      </c>
      <c r="J163">
        <v>0</v>
      </c>
      <c r="K163">
        <v>4.3</v>
      </c>
      <c r="L163">
        <v>11</v>
      </c>
      <c r="M163">
        <v>4.3</v>
      </c>
      <c r="N163">
        <v>12</v>
      </c>
      <c r="O163" s="1">
        <f>((INT(N163)-INT(L163))*3)-(((L163-INT(L163))*10) - ((N163-INT(N163))*10))</f>
        <v>3</v>
      </c>
      <c r="P163">
        <f t="shared" si="26"/>
        <v>1</v>
      </c>
      <c r="Q163">
        <f t="shared" si="27"/>
        <v>0</v>
      </c>
      <c r="R163">
        <f t="shared" si="28"/>
        <v>0</v>
      </c>
    </row>
    <row r="164" spans="1:18" x14ac:dyDescent="0.2">
      <c r="A164">
        <v>33206</v>
      </c>
      <c r="B164">
        <v>1</v>
      </c>
      <c r="C164">
        <f t="shared" si="20"/>
        <v>1</v>
      </c>
      <c r="D164">
        <f t="shared" si="21"/>
        <v>0</v>
      </c>
      <c r="E164">
        <v>2</v>
      </c>
      <c r="F164">
        <f t="shared" si="22"/>
        <v>0</v>
      </c>
      <c r="G164">
        <f t="shared" si="23"/>
        <v>1</v>
      </c>
      <c r="H164">
        <f t="shared" si="24"/>
        <v>0</v>
      </c>
      <c r="I164">
        <f t="shared" si="25"/>
        <v>0</v>
      </c>
      <c r="J164">
        <v>0</v>
      </c>
      <c r="K164">
        <v>3</v>
      </c>
      <c r="L164">
        <v>1</v>
      </c>
      <c r="M164">
        <v>3.7</v>
      </c>
      <c r="N164">
        <v>4</v>
      </c>
      <c r="O164" s="1">
        <f>((INT(N164)-INT(L164))*3)-(((L164-INT(L164))*10) - ((N164-INT(N164))*10))</f>
        <v>9</v>
      </c>
      <c r="P164">
        <f t="shared" si="26"/>
        <v>0</v>
      </c>
      <c r="Q164">
        <f t="shared" si="27"/>
        <v>0</v>
      </c>
      <c r="R164">
        <f t="shared" si="28"/>
        <v>1</v>
      </c>
    </row>
    <row r="165" spans="1:18" x14ac:dyDescent="0.2">
      <c r="A165">
        <v>33228</v>
      </c>
      <c r="B165">
        <v>1</v>
      </c>
      <c r="C165">
        <f t="shared" si="20"/>
        <v>1</v>
      </c>
      <c r="D165">
        <f t="shared" si="21"/>
        <v>0</v>
      </c>
      <c r="E165">
        <v>1</v>
      </c>
      <c r="F165">
        <f t="shared" si="22"/>
        <v>1</v>
      </c>
      <c r="G165">
        <f t="shared" si="23"/>
        <v>0</v>
      </c>
      <c r="H165">
        <f t="shared" si="24"/>
        <v>0</v>
      </c>
      <c r="I165">
        <f t="shared" si="25"/>
        <v>0</v>
      </c>
      <c r="J165">
        <v>0</v>
      </c>
      <c r="K165">
        <v>4</v>
      </c>
      <c r="L165">
        <v>10</v>
      </c>
      <c r="M165">
        <v>4</v>
      </c>
      <c r="N165">
        <v>11</v>
      </c>
      <c r="O165" s="1">
        <f>((INT(N165)-INT(L165))*3)-(((L165-INT(L165))*10) - ((N165-INT(N165))*10))</f>
        <v>3</v>
      </c>
      <c r="P165">
        <f t="shared" si="26"/>
        <v>1</v>
      </c>
      <c r="Q165">
        <f t="shared" si="27"/>
        <v>0</v>
      </c>
      <c r="R165">
        <f t="shared" si="28"/>
        <v>0</v>
      </c>
    </row>
    <row r="166" spans="1:18" x14ac:dyDescent="0.2">
      <c r="A166">
        <v>33295</v>
      </c>
      <c r="B166">
        <v>1</v>
      </c>
      <c r="C166">
        <f t="shared" si="20"/>
        <v>1</v>
      </c>
      <c r="D166">
        <f t="shared" si="21"/>
        <v>0</v>
      </c>
      <c r="E166">
        <v>3</v>
      </c>
      <c r="F166">
        <f t="shared" si="22"/>
        <v>0</v>
      </c>
      <c r="G166">
        <f t="shared" si="23"/>
        <v>0</v>
      </c>
      <c r="H166">
        <f t="shared" si="24"/>
        <v>1</v>
      </c>
      <c r="I166">
        <f t="shared" si="25"/>
        <v>0</v>
      </c>
      <c r="J166">
        <v>1</v>
      </c>
      <c r="K166">
        <v>4</v>
      </c>
      <c r="L166">
        <v>6.2</v>
      </c>
      <c r="M166">
        <v>3.7</v>
      </c>
      <c r="N166">
        <v>9.1</v>
      </c>
      <c r="O166" s="1">
        <f>((INT(N166)-INT(L166))*3)-(((L166-INT(L166))*10) - ((N166-INT(N166))*10))</f>
        <v>7.9999999999999947</v>
      </c>
      <c r="P166">
        <f t="shared" si="26"/>
        <v>0</v>
      </c>
      <c r="Q166">
        <f t="shared" si="27"/>
        <v>0</v>
      </c>
      <c r="R166">
        <f t="shared" si="28"/>
        <v>1</v>
      </c>
    </row>
    <row r="167" spans="1:18" x14ac:dyDescent="0.2">
      <c r="A167">
        <v>33457</v>
      </c>
      <c r="B167">
        <v>0</v>
      </c>
      <c r="C167">
        <f t="shared" si="20"/>
        <v>0</v>
      </c>
      <c r="D167">
        <f t="shared" si="21"/>
        <v>1</v>
      </c>
      <c r="E167">
        <v>4</v>
      </c>
      <c r="F167">
        <f t="shared" si="22"/>
        <v>0</v>
      </c>
      <c r="G167">
        <f t="shared" si="23"/>
        <v>0</v>
      </c>
      <c r="H167">
        <f t="shared" si="24"/>
        <v>0</v>
      </c>
      <c r="I167">
        <f t="shared" si="25"/>
        <v>1</v>
      </c>
      <c r="J167">
        <v>0</v>
      </c>
      <c r="K167">
        <v>2</v>
      </c>
      <c r="L167">
        <v>4.2</v>
      </c>
      <c r="M167">
        <v>3</v>
      </c>
      <c r="N167">
        <v>7</v>
      </c>
      <c r="O167" s="1">
        <f>((INT(N167)-INT(L167))*3)-(((L167-INT(L167))*10) - ((N167-INT(N167))*10))</f>
        <v>6.9999999999999982</v>
      </c>
      <c r="P167">
        <f t="shared" si="26"/>
        <v>0</v>
      </c>
      <c r="Q167">
        <f t="shared" si="27"/>
        <v>0</v>
      </c>
      <c r="R167">
        <f t="shared" si="28"/>
        <v>1</v>
      </c>
    </row>
    <row r="168" spans="1:18" x14ac:dyDescent="0.2">
      <c r="A168">
        <v>33670</v>
      </c>
      <c r="B168">
        <v>0</v>
      </c>
      <c r="C168">
        <f t="shared" si="20"/>
        <v>0</v>
      </c>
      <c r="D168">
        <f t="shared" si="21"/>
        <v>1</v>
      </c>
      <c r="E168">
        <v>1</v>
      </c>
      <c r="F168">
        <f t="shared" si="22"/>
        <v>1</v>
      </c>
      <c r="G168">
        <f t="shared" si="23"/>
        <v>0</v>
      </c>
      <c r="H168">
        <f t="shared" si="24"/>
        <v>0</v>
      </c>
      <c r="I168">
        <f t="shared" si="25"/>
        <v>0</v>
      </c>
      <c r="J168">
        <v>0</v>
      </c>
      <c r="K168">
        <v>3</v>
      </c>
      <c r="L168">
        <v>9</v>
      </c>
      <c r="M168">
        <v>4.3</v>
      </c>
      <c r="N168">
        <v>11</v>
      </c>
      <c r="O168" s="1">
        <f>((INT(N168)-INT(L168))*3)-(((L168-INT(L168))*10) - ((N168-INT(N168))*10))</f>
        <v>6</v>
      </c>
      <c r="P168">
        <f t="shared" si="26"/>
        <v>0</v>
      </c>
      <c r="Q168">
        <f t="shared" si="27"/>
        <v>0</v>
      </c>
      <c r="R168">
        <f t="shared" si="28"/>
        <v>1</v>
      </c>
    </row>
    <row r="169" spans="1:18" x14ac:dyDescent="0.2">
      <c r="A169">
        <v>33713</v>
      </c>
      <c r="B169">
        <v>0</v>
      </c>
      <c r="C169">
        <f t="shared" si="20"/>
        <v>0</v>
      </c>
      <c r="D169">
        <f t="shared" si="21"/>
        <v>1</v>
      </c>
      <c r="E169">
        <v>3</v>
      </c>
      <c r="F169">
        <f t="shared" si="22"/>
        <v>0</v>
      </c>
      <c r="G169">
        <f t="shared" si="23"/>
        <v>0</v>
      </c>
      <c r="H169">
        <f t="shared" si="24"/>
        <v>1</v>
      </c>
      <c r="I169">
        <f t="shared" si="25"/>
        <v>0</v>
      </c>
      <c r="J169">
        <v>0</v>
      </c>
      <c r="K169">
        <v>3.3</v>
      </c>
      <c r="L169">
        <v>9</v>
      </c>
      <c r="M169">
        <v>3.7</v>
      </c>
      <c r="N169">
        <v>11</v>
      </c>
      <c r="O169" s="1">
        <f>((INT(N169)-INT(L169))*3)-(((L169-INT(L169))*10) - ((N169-INT(N169))*10))</f>
        <v>6</v>
      </c>
      <c r="P169">
        <f t="shared" si="26"/>
        <v>0</v>
      </c>
      <c r="Q169">
        <f t="shared" si="27"/>
        <v>0</v>
      </c>
      <c r="R169">
        <f t="shared" si="28"/>
        <v>1</v>
      </c>
    </row>
    <row r="170" spans="1:18" x14ac:dyDescent="0.2">
      <c r="A170">
        <v>33741</v>
      </c>
      <c r="B170">
        <v>0</v>
      </c>
      <c r="C170">
        <f t="shared" si="20"/>
        <v>0</v>
      </c>
      <c r="D170">
        <f t="shared" si="21"/>
        <v>1</v>
      </c>
      <c r="E170">
        <v>2</v>
      </c>
      <c r="F170">
        <f t="shared" si="22"/>
        <v>0</v>
      </c>
      <c r="G170">
        <f t="shared" si="23"/>
        <v>1</v>
      </c>
      <c r="H170">
        <f t="shared" si="24"/>
        <v>0</v>
      </c>
      <c r="I170">
        <f t="shared" si="25"/>
        <v>0</v>
      </c>
      <c r="J170">
        <v>1</v>
      </c>
      <c r="K170">
        <v>3.3</v>
      </c>
      <c r="L170">
        <v>5.0999999999999996</v>
      </c>
      <c r="M170">
        <v>2</v>
      </c>
      <c r="N170">
        <v>7</v>
      </c>
      <c r="O170" s="1">
        <f>((INT(N170)-INT(L170))*3)-(((L170-INT(L170))*10) - ((N170-INT(N170))*10))</f>
        <v>5.0000000000000036</v>
      </c>
      <c r="P170">
        <f t="shared" si="26"/>
        <v>0</v>
      </c>
      <c r="Q170">
        <f t="shared" si="27"/>
        <v>1</v>
      </c>
      <c r="R170">
        <f t="shared" si="28"/>
        <v>0</v>
      </c>
    </row>
    <row r="171" spans="1:18" x14ac:dyDescent="0.2">
      <c r="A171">
        <v>33745</v>
      </c>
      <c r="B171">
        <v>1</v>
      </c>
      <c r="C171">
        <f t="shared" si="20"/>
        <v>1</v>
      </c>
      <c r="D171">
        <f t="shared" si="21"/>
        <v>0</v>
      </c>
      <c r="E171">
        <v>3</v>
      </c>
      <c r="F171">
        <f t="shared" si="22"/>
        <v>0</v>
      </c>
      <c r="G171">
        <f t="shared" si="23"/>
        <v>0</v>
      </c>
      <c r="H171">
        <f t="shared" si="24"/>
        <v>1</v>
      </c>
      <c r="I171">
        <f t="shared" si="25"/>
        <v>0</v>
      </c>
      <c r="J171">
        <v>0</v>
      </c>
      <c r="K171">
        <v>2</v>
      </c>
      <c r="L171">
        <v>9</v>
      </c>
      <c r="M171">
        <v>3</v>
      </c>
      <c r="N171">
        <v>10.199999999999999</v>
      </c>
      <c r="O171" s="1">
        <f>((INT(N171)-INT(L171))*3)-(((L171-INT(L171))*10) - ((N171-INT(N171))*10))</f>
        <v>4.9999999999999929</v>
      </c>
      <c r="P171">
        <f t="shared" si="26"/>
        <v>0</v>
      </c>
      <c r="Q171">
        <f t="shared" si="27"/>
        <v>1</v>
      </c>
      <c r="R171">
        <f t="shared" si="28"/>
        <v>0</v>
      </c>
    </row>
    <row r="172" spans="1:18" x14ac:dyDescent="0.2">
      <c r="A172">
        <v>33915</v>
      </c>
      <c r="B172">
        <v>0</v>
      </c>
      <c r="C172">
        <f t="shared" si="20"/>
        <v>0</v>
      </c>
      <c r="D172">
        <f t="shared" si="21"/>
        <v>1</v>
      </c>
      <c r="E172">
        <v>2</v>
      </c>
      <c r="F172">
        <f t="shared" si="22"/>
        <v>0</v>
      </c>
      <c r="G172">
        <f t="shared" si="23"/>
        <v>1</v>
      </c>
      <c r="H172">
        <f t="shared" si="24"/>
        <v>0</v>
      </c>
      <c r="I172">
        <f t="shared" si="25"/>
        <v>0</v>
      </c>
      <c r="J172">
        <v>0</v>
      </c>
      <c r="K172">
        <v>4</v>
      </c>
      <c r="L172">
        <v>11</v>
      </c>
      <c r="M172">
        <v>2.7</v>
      </c>
      <c r="N172">
        <v>12.2</v>
      </c>
      <c r="O172" s="1">
        <f>((INT(N172)-INT(L172))*3)-(((L172-INT(L172))*10) - ((N172-INT(N172))*10))</f>
        <v>4.9999999999999929</v>
      </c>
      <c r="P172">
        <f t="shared" si="26"/>
        <v>0</v>
      </c>
      <c r="Q172">
        <f t="shared" si="27"/>
        <v>1</v>
      </c>
      <c r="R172">
        <f t="shared" si="28"/>
        <v>0</v>
      </c>
    </row>
    <row r="173" spans="1:18" x14ac:dyDescent="0.2">
      <c r="A173">
        <v>34084</v>
      </c>
      <c r="B173">
        <v>0</v>
      </c>
      <c r="C173">
        <f t="shared" si="20"/>
        <v>0</v>
      </c>
      <c r="D173">
        <f t="shared" si="21"/>
        <v>1</v>
      </c>
      <c r="E173">
        <v>4</v>
      </c>
      <c r="F173">
        <f t="shared" si="22"/>
        <v>0</v>
      </c>
      <c r="G173">
        <f t="shared" si="23"/>
        <v>0</v>
      </c>
      <c r="H173">
        <f t="shared" si="24"/>
        <v>0</v>
      </c>
      <c r="I173">
        <f t="shared" si="25"/>
        <v>1</v>
      </c>
      <c r="J173">
        <v>1</v>
      </c>
      <c r="K173">
        <v>3</v>
      </c>
      <c r="L173">
        <v>8.1999999999999993</v>
      </c>
      <c r="M173">
        <v>3</v>
      </c>
      <c r="N173">
        <v>12.2</v>
      </c>
      <c r="O173" s="1">
        <f>((INT(N173)-INT(L173))*3)-(((L173-INT(L173))*10) - ((N173-INT(N173))*10))</f>
        <v>12</v>
      </c>
      <c r="P173">
        <f t="shared" si="26"/>
        <v>0</v>
      </c>
      <c r="Q173">
        <f t="shared" si="27"/>
        <v>0</v>
      </c>
      <c r="R173">
        <f t="shared" si="28"/>
        <v>1</v>
      </c>
    </row>
    <row r="174" spans="1:18" x14ac:dyDescent="0.2">
      <c r="A174">
        <v>34299</v>
      </c>
      <c r="B174">
        <v>0</v>
      </c>
      <c r="C174">
        <f t="shared" si="20"/>
        <v>0</v>
      </c>
      <c r="D174">
        <f t="shared" si="21"/>
        <v>1</v>
      </c>
      <c r="E174">
        <v>2</v>
      </c>
      <c r="F174">
        <f t="shared" si="22"/>
        <v>0</v>
      </c>
      <c r="G174">
        <f t="shared" si="23"/>
        <v>1</v>
      </c>
      <c r="H174">
        <f t="shared" si="24"/>
        <v>0</v>
      </c>
      <c r="I174">
        <f t="shared" si="25"/>
        <v>0</v>
      </c>
      <c r="J174">
        <v>1</v>
      </c>
      <c r="K174">
        <v>2</v>
      </c>
      <c r="L174">
        <v>9</v>
      </c>
      <c r="M174">
        <v>4</v>
      </c>
      <c r="N174">
        <v>10.199999999999999</v>
      </c>
      <c r="O174" s="1">
        <f>((INT(N174)-INT(L174))*3)-(((L174-INT(L174))*10) - ((N174-INT(N174))*10))</f>
        <v>4.9999999999999929</v>
      </c>
      <c r="P174">
        <f t="shared" si="26"/>
        <v>0</v>
      </c>
      <c r="Q174">
        <f t="shared" si="27"/>
        <v>1</v>
      </c>
      <c r="R174">
        <f t="shared" si="28"/>
        <v>0</v>
      </c>
    </row>
    <row r="175" spans="1:18" x14ac:dyDescent="0.2">
      <c r="A175">
        <v>34401</v>
      </c>
      <c r="B175">
        <v>0</v>
      </c>
      <c r="C175">
        <f t="shared" si="20"/>
        <v>0</v>
      </c>
      <c r="D175">
        <f t="shared" si="21"/>
        <v>1</v>
      </c>
      <c r="E175">
        <v>1</v>
      </c>
      <c r="F175">
        <f t="shared" si="22"/>
        <v>1</v>
      </c>
      <c r="G175">
        <f t="shared" si="23"/>
        <v>0</v>
      </c>
      <c r="H175">
        <f t="shared" si="24"/>
        <v>0</v>
      </c>
      <c r="I175">
        <f t="shared" si="25"/>
        <v>0</v>
      </c>
      <c r="J175">
        <v>1</v>
      </c>
      <c r="K175">
        <v>3</v>
      </c>
      <c r="L175">
        <v>10.199999999999999</v>
      </c>
      <c r="M175">
        <v>3</v>
      </c>
      <c r="N175">
        <v>12</v>
      </c>
      <c r="O175" s="1">
        <f>((INT(N175)-INT(L175))*3)-(((L175-INT(L175))*10) - ((N175-INT(N175))*10))</f>
        <v>4.0000000000000071</v>
      </c>
      <c r="P175">
        <f t="shared" si="26"/>
        <v>0</v>
      </c>
      <c r="Q175">
        <f t="shared" si="27"/>
        <v>1</v>
      </c>
      <c r="R175">
        <f t="shared" si="28"/>
        <v>0</v>
      </c>
    </row>
    <row r="176" spans="1:18" x14ac:dyDescent="0.2">
      <c r="A176">
        <v>34563</v>
      </c>
      <c r="B176">
        <v>0</v>
      </c>
      <c r="C176">
        <f t="shared" si="20"/>
        <v>0</v>
      </c>
      <c r="D176">
        <f t="shared" si="21"/>
        <v>1</v>
      </c>
      <c r="E176">
        <v>1</v>
      </c>
      <c r="F176">
        <f t="shared" si="22"/>
        <v>1</v>
      </c>
      <c r="G176">
        <f t="shared" si="23"/>
        <v>0</v>
      </c>
      <c r="H176">
        <f t="shared" si="24"/>
        <v>0</v>
      </c>
      <c r="I176">
        <f t="shared" si="25"/>
        <v>0</v>
      </c>
      <c r="J176">
        <v>0</v>
      </c>
      <c r="K176">
        <v>4.3</v>
      </c>
      <c r="L176">
        <v>8.1999999999999993</v>
      </c>
      <c r="M176">
        <v>2</v>
      </c>
      <c r="N176">
        <v>9.1</v>
      </c>
      <c r="O176" s="1">
        <f>((INT(N176)-INT(L176))*3)-(((L176-INT(L176))*10) - ((N176-INT(N176))*10))</f>
        <v>2.0000000000000036</v>
      </c>
      <c r="P176">
        <f t="shared" si="26"/>
        <v>1</v>
      </c>
      <c r="Q176">
        <f t="shared" si="27"/>
        <v>0</v>
      </c>
      <c r="R176">
        <f t="shared" si="28"/>
        <v>0</v>
      </c>
    </row>
    <row r="177" spans="1:18" x14ac:dyDescent="0.2">
      <c r="A177">
        <v>34642</v>
      </c>
      <c r="B177">
        <v>0</v>
      </c>
      <c r="C177">
        <f t="shared" si="20"/>
        <v>0</v>
      </c>
      <c r="D177">
        <f t="shared" si="21"/>
        <v>1</v>
      </c>
      <c r="E177">
        <v>4</v>
      </c>
      <c r="F177">
        <f t="shared" si="22"/>
        <v>0</v>
      </c>
      <c r="G177">
        <f t="shared" si="23"/>
        <v>0</v>
      </c>
      <c r="H177">
        <f t="shared" si="24"/>
        <v>0</v>
      </c>
      <c r="I177">
        <f t="shared" si="25"/>
        <v>1</v>
      </c>
      <c r="J177">
        <v>0</v>
      </c>
      <c r="K177">
        <v>4</v>
      </c>
      <c r="L177">
        <v>1</v>
      </c>
      <c r="M177">
        <v>3</v>
      </c>
      <c r="N177">
        <v>3</v>
      </c>
      <c r="O177" s="1">
        <f>((INT(N177)-INT(L177))*3)-(((L177-INT(L177))*10) - ((N177-INT(N177))*10))</f>
        <v>6</v>
      </c>
      <c r="P177">
        <f t="shared" si="26"/>
        <v>0</v>
      </c>
      <c r="Q177">
        <f t="shared" si="27"/>
        <v>0</v>
      </c>
      <c r="R177">
        <f t="shared" si="28"/>
        <v>1</v>
      </c>
    </row>
    <row r="178" spans="1:18" x14ac:dyDescent="0.2">
      <c r="A178">
        <v>35008</v>
      </c>
      <c r="B178">
        <v>1</v>
      </c>
      <c r="C178">
        <f t="shared" si="20"/>
        <v>1</v>
      </c>
      <c r="D178">
        <f t="shared" si="21"/>
        <v>0</v>
      </c>
      <c r="E178">
        <v>4</v>
      </c>
      <c r="F178">
        <f t="shared" si="22"/>
        <v>0</v>
      </c>
      <c r="G178">
        <f t="shared" si="23"/>
        <v>0</v>
      </c>
      <c r="H178">
        <f t="shared" si="24"/>
        <v>0</v>
      </c>
      <c r="I178">
        <f t="shared" si="25"/>
        <v>1</v>
      </c>
      <c r="J178">
        <v>0</v>
      </c>
      <c r="K178">
        <v>4.3</v>
      </c>
      <c r="L178">
        <v>10</v>
      </c>
      <c r="M178">
        <v>4</v>
      </c>
      <c r="N178">
        <v>12</v>
      </c>
      <c r="O178" s="1">
        <f>((INT(N178)-INT(L178))*3)-(((L178-INT(L178))*10) - ((N178-INT(N178))*10))</f>
        <v>6</v>
      </c>
      <c r="P178">
        <f t="shared" si="26"/>
        <v>0</v>
      </c>
      <c r="Q178">
        <f t="shared" si="27"/>
        <v>0</v>
      </c>
      <c r="R178">
        <f t="shared" si="28"/>
        <v>1</v>
      </c>
    </row>
    <row r="179" spans="1:18" x14ac:dyDescent="0.2">
      <c r="A179">
        <v>35192</v>
      </c>
      <c r="B179">
        <v>1</v>
      </c>
      <c r="C179">
        <f t="shared" si="20"/>
        <v>1</v>
      </c>
      <c r="D179">
        <f t="shared" si="21"/>
        <v>0</v>
      </c>
      <c r="E179">
        <v>1</v>
      </c>
      <c r="F179">
        <f t="shared" si="22"/>
        <v>1</v>
      </c>
      <c r="G179">
        <f t="shared" si="23"/>
        <v>0</v>
      </c>
      <c r="H179">
        <f t="shared" si="24"/>
        <v>0</v>
      </c>
      <c r="I179">
        <f t="shared" si="25"/>
        <v>0</v>
      </c>
      <c r="J179">
        <v>0</v>
      </c>
      <c r="K179">
        <v>4</v>
      </c>
      <c r="L179">
        <v>1</v>
      </c>
      <c r="M179">
        <v>4</v>
      </c>
      <c r="N179">
        <v>3.1</v>
      </c>
      <c r="O179" s="1">
        <f>((INT(N179)-INT(L179))*3)-(((L179-INT(L179))*10) - ((N179-INT(N179))*10))</f>
        <v>7.0000000000000009</v>
      </c>
      <c r="P179">
        <f t="shared" si="26"/>
        <v>0</v>
      </c>
      <c r="Q179">
        <f t="shared" si="27"/>
        <v>0</v>
      </c>
      <c r="R179">
        <f t="shared" si="28"/>
        <v>1</v>
      </c>
    </row>
    <row r="180" spans="1:18" x14ac:dyDescent="0.2">
      <c r="A180">
        <v>35251</v>
      </c>
      <c r="B180">
        <v>1</v>
      </c>
      <c r="C180">
        <f t="shared" si="20"/>
        <v>1</v>
      </c>
      <c r="D180">
        <f t="shared" si="21"/>
        <v>0</v>
      </c>
      <c r="E180">
        <v>1</v>
      </c>
      <c r="F180">
        <f t="shared" si="22"/>
        <v>1</v>
      </c>
      <c r="G180">
        <f t="shared" si="23"/>
        <v>0</v>
      </c>
      <c r="H180">
        <f t="shared" si="24"/>
        <v>0</v>
      </c>
      <c r="I180">
        <f t="shared" si="25"/>
        <v>0</v>
      </c>
      <c r="J180">
        <v>1</v>
      </c>
      <c r="K180">
        <v>4.3</v>
      </c>
      <c r="L180">
        <v>8</v>
      </c>
      <c r="M180">
        <v>3</v>
      </c>
      <c r="N180">
        <v>9</v>
      </c>
      <c r="O180" s="1">
        <f>((INT(N180)-INT(L180))*3)-(((L180-INT(L180))*10) - ((N180-INT(N180))*10))</f>
        <v>3</v>
      </c>
      <c r="P180">
        <f t="shared" si="26"/>
        <v>1</v>
      </c>
      <c r="Q180">
        <f t="shared" si="27"/>
        <v>0</v>
      </c>
      <c r="R180">
        <f t="shared" si="28"/>
        <v>0</v>
      </c>
    </row>
    <row r="181" spans="1:18" x14ac:dyDescent="0.2">
      <c r="A181">
        <v>35353</v>
      </c>
      <c r="B181">
        <v>1</v>
      </c>
      <c r="C181">
        <f t="shared" si="20"/>
        <v>1</v>
      </c>
      <c r="D181">
        <f t="shared" si="21"/>
        <v>0</v>
      </c>
      <c r="E181">
        <v>2</v>
      </c>
      <c r="F181">
        <f t="shared" si="22"/>
        <v>0</v>
      </c>
      <c r="G181">
        <f t="shared" si="23"/>
        <v>1</v>
      </c>
      <c r="H181">
        <f t="shared" si="24"/>
        <v>0</v>
      </c>
      <c r="I181">
        <f t="shared" si="25"/>
        <v>0</v>
      </c>
      <c r="J181">
        <v>0</v>
      </c>
      <c r="K181">
        <v>3.3</v>
      </c>
      <c r="L181">
        <v>2</v>
      </c>
      <c r="M181">
        <v>2.7</v>
      </c>
      <c r="N181">
        <v>4</v>
      </c>
      <c r="O181" s="1">
        <f>((INT(N181)-INT(L181))*3)-(((L181-INT(L181))*10) - ((N181-INT(N181))*10))</f>
        <v>6</v>
      </c>
      <c r="P181">
        <f t="shared" si="26"/>
        <v>0</v>
      </c>
      <c r="Q181">
        <f t="shared" si="27"/>
        <v>0</v>
      </c>
      <c r="R181">
        <f t="shared" si="28"/>
        <v>1</v>
      </c>
    </row>
    <row r="182" spans="1:18" x14ac:dyDescent="0.2">
      <c r="A182">
        <v>35730</v>
      </c>
      <c r="B182">
        <v>1</v>
      </c>
      <c r="C182">
        <f t="shared" si="20"/>
        <v>1</v>
      </c>
      <c r="D182">
        <f t="shared" si="21"/>
        <v>0</v>
      </c>
      <c r="E182">
        <v>4</v>
      </c>
      <c r="F182">
        <f t="shared" si="22"/>
        <v>0</v>
      </c>
      <c r="G182">
        <f t="shared" si="23"/>
        <v>0</v>
      </c>
      <c r="H182">
        <f t="shared" si="24"/>
        <v>0</v>
      </c>
      <c r="I182">
        <f t="shared" si="25"/>
        <v>1</v>
      </c>
      <c r="J182">
        <v>0</v>
      </c>
      <c r="K182">
        <v>2</v>
      </c>
      <c r="L182">
        <v>3.1</v>
      </c>
      <c r="M182">
        <v>3</v>
      </c>
      <c r="N182">
        <v>6.2</v>
      </c>
      <c r="O182" s="1">
        <f>((INT(N182)-INT(L182))*3)-(((L182-INT(L182))*10) - ((N182-INT(N182))*10))</f>
        <v>10</v>
      </c>
      <c r="P182">
        <f t="shared" si="26"/>
        <v>0</v>
      </c>
      <c r="Q182">
        <f t="shared" si="27"/>
        <v>0</v>
      </c>
      <c r="R182">
        <f t="shared" si="28"/>
        <v>1</v>
      </c>
    </row>
    <row r="183" spans="1:18" x14ac:dyDescent="0.2">
      <c r="A183">
        <v>35991</v>
      </c>
      <c r="B183">
        <v>0</v>
      </c>
      <c r="C183">
        <f t="shared" si="20"/>
        <v>0</v>
      </c>
      <c r="D183">
        <f t="shared" si="21"/>
        <v>1</v>
      </c>
      <c r="E183">
        <v>4</v>
      </c>
      <c r="F183">
        <f t="shared" si="22"/>
        <v>0</v>
      </c>
      <c r="G183">
        <f t="shared" si="23"/>
        <v>0</v>
      </c>
      <c r="H183">
        <f t="shared" si="24"/>
        <v>0</v>
      </c>
      <c r="I183">
        <f t="shared" si="25"/>
        <v>1</v>
      </c>
      <c r="J183">
        <v>0</v>
      </c>
      <c r="K183">
        <v>3.3</v>
      </c>
      <c r="L183">
        <v>1</v>
      </c>
      <c r="M183">
        <v>4</v>
      </c>
      <c r="N183">
        <v>4</v>
      </c>
      <c r="O183" s="1">
        <f>((INT(N183)-INT(L183))*3)-(((L183-INT(L183))*10) - ((N183-INT(N183))*10))</f>
        <v>9</v>
      </c>
      <c r="P183">
        <f t="shared" si="26"/>
        <v>0</v>
      </c>
      <c r="Q183">
        <f t="shared" si="27"/>
        <v>0</v>
      </c>
      <c r="R183">
        <f t="shared" si="28"/>
        <v>1</v>
      </c>
    </row>
    <row r="184" spans="1:18" x14ac:dyDescent="0.2">
      <c r="A184">
        <v>36030</v>
      </c>
      <c r="B184">
        <v>0</v>
      </c>
      <c r="C184">
        <f t="shared" si="20"/>
        <v>0</v>
      </c>
      <c r="D184">
        <f t="shared" si="21"/>
        <v>1</v>
      </c>
      <c r="E184">
        <v>3</v>
      </c>
      <c r="F184">
        <f t="shared" si="22"/>
        <v>0</v>
      </c>
      <c r="G184">
        <f t="shared" si="23"/>
        <v>0</v>
      </c>
      <c r="H184">
        <f t="shared" si="24"/>
        <v>1</v>
      </c>
      <c r="I184">
        <f t="shared" si="25"/>
        <v>0</v>
      </c>
      <c r="J184">
        <v>0</v>
      </c>
      <c r="K184">
        <v>2</v>
      </c>
      <c r="L184">
        <v>3.2</v>
      </c>
      <c r="M184">
        <v>3</v>
      </c>
      <c r="N184">
        <v>7.1</v>
      </c>
      <c r="O184" s="1">
        <f>((INT(N184)-INT(L184))*3)-(((L184-INT(L184))*10) - ((N184-INT(N184))*10))</f>
        <v>10.999999999999995</v>
      </c>
      <c r="P184">
        <f t="shared" si="26"/>
        <v>0</v>
      </c>
      <c r="Q184">
        <f t="shared" si="27"/>
        <v>0</v>
      </c>
      <c r="R184">
        <f t="shared" si="28"/>
        <v>1</v>
      </c>
    </row>
    <row r="185" spans="1:18" x14ac:dyDescent="0.2">
      <c r="A185">
        <v>37193</v>
      </c>
      <c r="B185">
        <v>0</v>
      </c>
      <c r="C185">
        <f t="shared" si="20"/>
        <v>0</v>
      </c>
      <c r="D185">
        <f t="shared" si="21"/>
        <v>1</v>
      </c>
      <c r="E185">
        <v>4</v>
      </c>
      <c r="F185">
        <f t="shared" si="22"/>
        <v>0</v>
      </c>
      <c r="G185">
        <f t="shared" si="23"/>
        <v>0</v>
      </c>
      <c r="H185">
        <f t="shared" si="24"/>
        <v>0</v>
      </c>
      <c r="I185">
        <f t="shared" si="25"/>
        <v>1</v>
      </c>
      <c r="J185">
        <v>1</v>
      </c>
      <c r="K185">
        <v>2.2999999999999998</v>
      </c>
      <c r="L185">
        <v>8.1999999999999993</v>
      </c>
      <c r="M185">
        <v>3</v>
      </c>
      <c r="N185">
        <v>10.199999999999999</v>
      </c>
      <c r="O185" s="1">
        <f>((INT(N185)-INT(L185))*3)-(((L185-INT(L185))*10) - ((N185-INT(N185))*10))</f>
        <v>6</v>
      </c>
      <c r="P185">
        <f t="shared" si="26"/>
        <v>0</v>
      </c>
      <c r="Q185">
        <f t="shared" si="27"/>
        <v>0</v>
      </c>
      <c r="R185">
        <f t="shared" si="28"/>
        <v>1</v>
      </c>
    </row>
    <row r="186" spans="1:18" x14ac:dyDescent="0.2">
      <c r="A186">
        <v>37500</v>
      </c>
      <c r="B186">
        <v>0</v>
      </c>
      <c r="C186">
        <f t="shared" si="20"/>
        <v>0</v>
      </c>
      <c r="D186">
        <f t="shared" si="21"/>
        <v>1</v>
      </c>
      <c r="E186">
        <v>2</v>
      </c>
      <c r="F186">
        <f t="shared" si="22"/>
        <v>0</v>
      </c>
      <c r="G186">
        <f t="shared" si="23"/>
        <v>1</v>
      </c>
      <c r="H186">
        <f t="shared" si="24"/>
        <v>0</v>
      </c>
      <c r="I186">
        <f t="shared" si="25"/>
        <v>0</v>
      </c>
      <c r="J186">
        <v>0</v>
      </c>
      <c r="K186">
        <v>3.7</v>
      </c>
      <c r="L186">
        <v>8</v>
      </c>
      <c r="M186">
        <v>4</v>
      </c>
      <c r="N186">
        <v>9.1</v>
      </c>
      <c r="O186" s="1">
        <f>((INT(N186)-INT(L186))*3)-(((L186-INT(L186))*10) - ((N186-INT(N186))*10))</f>
        <v>3.9999999999999964</v>
      </c>
      <c r="P186">
        <f t="shared" si="26"/>
        <v>0</v>
      </c>
      <c r="Q186">
        <f t="shared" si="27"/>
        <v>1</v>
      </c>
      <c r="R186">
        <f t="shared" si="28"/>
        <v>0</v>
      </c>
    </row>
    <row r="187" spans="1:18" x14ac:dyDescent="0.2">
      <c r="A187">
        <v>37692</v>
      </c>
      <c r="B187">
        <v>0</v>
      </c>
      <c r="C187">
        <f t="shared" si="20"/>
        <v>0</v>
      </c>
      <c r="D187">
        <f t="shared" si="21"/>
        <v>1</v>
      </c>
      <c r="E187">
        <v>4</v>
      </c>
      <c r="F187">
        <f t="shared" si="22"/>
        <v>0</v>
      </c>
      <c r="G187">
        <f t="shared" si="23"/>
        <v>0</v>
      </c>
      <c r="H187">
        <f t="shared" si="24"/>
        <v>0</v>
      </c>
      <c r="I187">
        <f t="shared" si="25"/>
        <v>1</v>
      </c>
      <c r="J187">
        <v>0</v>
      </c>
      <c r="K187">
        <v>2</v>
      </c>
      <c r="L187">
        <v>10</v>
      </c>
      <c r="M187">
        <v>2.7</v>
      </c>
      <c r="N187">
        <v>12.2</v>
      </c>
      <c r="O187" s="1">
        <f>((INT(N187)-INT(L187))*3)-(((L187-INT(L187))*10) - ((N187-INT(N187))*10))</f>
        <v>7.9999999999999929</v>
      </c>
      <c r="P187">
        <f t="shared" si="26"/>
        <v>0</v>
      </c>
      <c r="Q187">
        <f t="shared" si="27"/>
        <v>0</v>
      </c>
      <c r="R187">
        <f t="shared" si="28"/>
        <v>1</v>
      </c>
    </row>
    <row r="188" spans="1:18" x14ac:dyDescent="0.2">
      <c r="A188">
        <v>38001</v>
      </c>
      <c r="B188">
        <v>0</v>
      </c>
      <c r="C188">
        <f t="shared" si="20"/>
        <v>0</v>
      </c>
      <c r="D188">
        <f t="shared" si="21"/>
        <v>1</v>
      </c>
      <c r="E188">
        <v>1</v>
      </c>
      <c r="F188">
        <f t="shared" si="22"/>
        <v>1</v>
      </c>
      <c r="G188">
        <f t="shared" si="23"/>
        <v>0</v>
      </c>
      <c r="H188">
        <f t="shared" si="24"/>
        <v>0</v>
      </c>
      <c r="I188">
        <f t="shared" si="25"/>
        <v>0</v>
      </c>
      <c r="J188">
        <v>0</v>
      </c>
      <c r="K188">
        <v>3</v>
      </c>
      <c r="L188">
        <v>11.1</v>
      </c>
      <c r="M188">
        <v>4.3</v>
      </c>
      <c r="N188">
        <v>12</v>
      </c>
      <c r="O188" s="1">
        <f>((INT(N188)-INT(L188))*3)-(((L188-INT(L188))*10) - ((N188-INT(N188))*10))</f>
        <v>2.0000000000000036</v>
      </c>
      <c r="P188">
        <f t="shared" si="26"/>
        <v>1</v>
      </c>
      <c r="Q188">
        <f t="shared" si="27"/>
        <v>0</v>
      </c>
      <c r="R188">
        <f t="shared" si="28"/>
        <v>0</v>
      </c>
    </row>
    <row r="189" spans="1:18" x14ac:dyDescent="0.2">
      <c r="A189">
        <v>38043</v>
      </c>
      <c r="B189">
        <v>0</v>
      </c>
      <c r="C189">
        <f t="shared" si="20"/>
        <v>0</v>
      </c>
      <c r="D189">
        <f t="shared" si="21"/>
        <v>1</v>
      </c>
      <c r="E189">
        <v>2</v>
      </c>
      <c r="F189">
        <f t="shared" si="22"/>
        <v>0</v>
      </c>
      <c r="G189">
        <f t="shared" si="23"/>
        <v>1</v>
      </c>
      <c r="H189">
        <f t="shared" si="24"/>
        <v>0</v>
      </c>
      <c r="I189">
        <f t="shared" si="25"/>
        <v>0</v>
      </c>
      <c r="J189">
        <v>1</v>
      </c>
      <c r="K189">
        <v>2.2999999999999998</v>
      </c>
      <c r="L189">
        <v>5</v>
      </c>
      <c r="M189">
        <v>2</v>
      </c>
      <c r="N189">
        <v>7</v>
      </c>
      <c r="O189" s="1">
        <f>((INT(N189)-INT(L189))*3)-(((L189-INT(L189))*10) - ((N189-INT(N189))*10))</f>
        <v>6</v>
      </c>
      <c r="P189">
        <f t="shared" si="26"/>
        <v>0</v>
      </c>
      <c r="Q189">
        <f t="shared" si="27"/>
        <v>0</v>
      </c>
      <c r="R189">
        <f t="shared" si="28"/>
        <v>1</v>
      </c>
    </row>
    <row r="190" spans="1:18" x14ac:dyDescent="0.2">
      <c r="A190">
        <v>38234</v>
      </c>
      <c r="B190">
        <v>0</v>
      </c>
      <c r="C190">
        <f t="shared" si="20"/>
        <v>0</v>
      </c>
      <c r="D190">
        <f t="shared" si="21"/>
        <v>1</v>
      </c>
      <c r="E190">
        <v>1</v>
      </c>
      <c r="F190">
        <f t="shared" si="22"/>
        <v>1</v>
      </c>
      <c r="G190">
        <f t="shared" si="23"/>
        <v>0</v>
      </c>
      <c r="H190">
        <f t="shared" si="24"/>
        <v>0</v>
      </c>
      <c r="I190">
        <f t="shared" si="25"/>
        <v>0</v>
      </c>
      <c r="J190">
        <v>0</v>
      </c>
      <c r="K190">
        <v>2.2999999999999998</v>
      </c>
      <c r="L190">
        <v>9</v>
      </c>
      <c r="M190">
        <v>4</v>
      </c>
      <c r="N190">
        <v>10.199999999999999</v>
      </c>
      <c r="O190" s="1">
        <f>((INT(N190)-INT(L190))*3)-(((L190-INT(L190))*10) - ((N190-INT(N190))*10))</f>
        <v>4.9999999999999929</v>
      </c>
      <c r="P190">
        <f t="shared" si="26"/>
        <v>0</v>
      </c>
      <c r="Q190">
        <f t="shared" si="27"/>
        <v>1</v>
      </c>
      <c r="R190">
        <f t="shared" si="28"/>
        <v>0</v>
      </c>
    </row>
    <row r="191" spans="1:18" x14ac:dyDescent="0.2">
      <c r="A191">
        <v>38292</v>
      </c>
      <c r="B191">
        <v>1</v>
      </c>
      <c r="C191">
        <f t="shared" si="20"/>
        <v>1</v>
      </c>
      <c r="D191">
        <f t="shared" si="21"/>
        <v>0</v>
      </c>
      <c r="E191">
        <v>4</v>
      </c>
      <c r="F191">
        <f t="shared" si="22"/>
        <v>0</v>
      </c>
      <c r="G191">
        <f t="shared" si="23"/>
        <v>0</v>
      </c>
      <c r="H191">
        <f t="shared" si="24"/>
        <v>0</v>
      </c>
      <c r="I191">
        <f t="shared" si="25"/>
        <v>1</v>
      </c>
      <c r="J191">
        <v>1</v>
      </c>
      <c r="K191">
        <v>3.3</v>
      </c>
      <c r="L191">
        <v>9</v>
      </c>
      <c r="M191">
        <v>2.7</v>
      </c>
      <c r="N191">
        <v>10.199999999999999</v>
      </c>
      <c r="O191" s="1">
        <f>((INT(N191)-INT(L191))*3)-(((L191-INT(L191))*10) - ((N191-INT(N191))*10))</f>
        <v>4.9999999999999929</v>
      </c>
      <c r="P191">
        <f t="shared" si="26"/>
        <v>0</v>
      </c>
      <c r="Q191">
        <f t="shared" si="27"/>
        <v>1</v>
      </c>
      <c r="R191">
        <f t="shared" si="28"/>
        <v>0</v>
      </c>
    </row>
    <row r="192" spans="1:18" x14ac:dyDescent="0.2">
      <c r="A192">
        <v>38637</v>
      </c>
      <c r="B192">
        <v>0</v>
      </c>
      <c r="C192">
        <f t="shared" si="20"/>
        <v>0</v>
      </c>
      <c r="D192">
        <f t="shared" si="21"/>
        <v>1</v>
      </c>
      <c r="E192">
        <v>1</v>
      </c>
      <c r="F192">
        <f t="shared" si="22"/>
        <v>1</v>
      </c>
      <c r="G192">
        <f t="shared" si="23"/>
        <v>0</v>
      </c>
      <c r="H192">
        <f t="shared" si="24"/>
        <v>0</v>
      </c>
      <c r="I192">
        <f t="shared" si="25"/>
        <v>0</v>
      </c>
      <c r="J192">
        <v>1</v>
      </c>
      <c r="K192">
        <v>2</v>
      </c>
      <c r="L192">
        <v>9</v>
      </c>
      <c r="M192">
        <v>3</v>
      </c>
      <c r="N192">
        <v>10</v>
      </c>
      <c r="O192" s="1">
        <f>((INT(N192)-INT(L192))*3)-(((L192-INT(L192))*10) - ((N192-INT(N192))*10))</f>
        <v>3</v>
      </c>
      <c r="P192">
        <f t="shared" si="26"/>
        <v>1</v>
      </c>
      <c r="Q192">
        <f t="shared" si="27"/>
        <v>0</v>
      </c>
      <c r="R192">
        <f t="shared" si="28"/>
        <v>0</v>
      </c>
    </row>
    <row r="193" spans="1:18" x14ac:dyDescent="0.2">
      <c r="A193">
        <v>38777</v>
      </c>
      <c r="B193">
        <v>0</v>
      </c>
      <c r="C193">
        <f t="shared" si="20"/>
        <v>0</v>
      </c>
      <c r="D193">
        <f t="shared" si="21"/>
        <v>1</v>
      </c>
      <c r="E193">
        <v>2</v>
      </c>
      <c r="F193">
        <f t="shared" si="22"/>
        <v>0</v>
      </c>
      <c r="G193">
        <f t="shared" si="23"/>
        <v>1</v>
      </c>
      <c r="H193">
        <f t="shared" si="24"/>
        <v>0</v>
      </c>
      <c r="I193">
        <f t="shared" si="25"/>
        <v>0</v>
      </c>
      <c r="J193">
        <v>1</v>
      </c>
      <c r="K193">
        <v>4.3</v>
      </c>
      <c r="L193">
        <v>3.2</v>
      </c>
      <c r="M193">
        <v>4.3</v>
      </c>
      <c r="N193">
        <v>4.2</v>
      </c>
      <c r="O193" s="1">
        <f>((INT(N193)-INT(L193))*3)-(((L193-INT(L193))*10) - ((N193-INT(N193))*10))</f>
        <v>3</v>
      </c>
      <c r="P193">
        <f t="shared" si="26"/>
        <v>1</v>
      </c>
      <c r="Q193">
        <f t="shared" si="27"/>
        <v>0</v>
      </c>
      <c r="R193">
        <f t="shared" si="28"/>
        <v>0</v>
      </c>
    </row>
    <row r="194" spans="1:18" x14ac:dyDescent="0.2">
      <c r="A194">
        <v>39243</v>
      </c>
      <c r="B194">
        <v>1</v>
      </c>
      <c r="C194">
        <f t="shared" si="20"/>
        <v>1</v>
      </c>
      <c r="D194">
        <f t="shared" si="21"/>
        <v>0</v>
      </c>
      <c r="E194">
        <v>1</v>
      </c>
      <c r="F194">
        <f t="shared" si="22"/>
        <v>1</v>
      </c>
      <c r="G194">
        <f t="shared" si="23"/>
        <v>0</v>
      </c>
      <c r="H194">
        <f t="shared" si="24"/>
        <v>0</v>
      </c>
      <c r="I194">
        <f t="shared" si="25"/>
        <v>0</v>
      </c>
      <c r="J194">
        <v>1</v>
      </c>
      <c r="K194">
        <v>3.7</v>
      </c>
      <c r="L194">
        <v>9</v>
      </c>
      <c r="M194">
        <v>2</v>
      </c>
      <c r="N194">
        <v>10.1</v>
      </c>
      <c r="O194" s="1">
        <f>((INT(N194)-INT(L194))*3)-(((L194-INT(L194))*10) - ((N194-INT(N194))*10))</f>
        <v>3.9999999999999964</v>
      </c>
      <c r="P194">
        <f t="shared" si="26"/>
        <v>0</v>
      </c>
      <c r="Q194">
        <f t="shared" si="27"/>
        <v>1</v>
      </c>
      <c r="R194">
        <f t="shared" si="28"/>
        <v>0</v>
      </c>
    </row>
    <row r="195" spans="1:18" x14ac:dyDescent="0.2">
      <c r="A195">
        <v>40017</v>
      </c>
      <c r="B195">
        <v>0</v>
      </c>
      <c r="C195">
        <f t="shared" ref="C195:C258" si="29">IF(B195=1,1,0)</f>
        <v>0</v>
      </c>
      <c r="D195">
        <f t="shared" ref="D195:D258" si="30">IF(B195=0,1,0)</f>
        <v>1</v>
      </c>
      <c r="E195">
        <v>1</v>
      </c>
      <c r="F195">
        <f t="shared" ref="F195:F258" si="31">IF(E195=1,1,0)</f>
        <v>1</v>
      </c>
      <c r="G195">
        <f t="shared" ref="G195:G258" si="32">IF(E195=2,1,0)</f>
        <v>0</v>
      </c>
      <c r="H195">
        <f t="shared" ref="H195:H258" si="33">IF(E195=3,1,0)</f>
        <v>0</v>
      </c>
      <c r="I195">
        <f t="shared" ref="I195:I258" si="34">IF(E195=4,1,0)</f>
        <v>0</v>
      </c>
      <c r="J195">
        <v>1</v>
      </c>
      <c r="K195">
        <v>4.3</v>
      </c>
      <c r="L195">
        <v>10.199999999999999</v>
      </c>
      <c r="M195">
        <v>2.7</v>
      </c>
      <c r="N195">
        <v>12.2</v>
      </c>
      <c r="O195" s="1">
        <f>((INT(N195)-INT(L195))*3)-(((L195-INT(L195))*10) - ((N195-INT(N195))*10))</f>
        <v>6</v>
      </c>
      <c r="P195">
        <f t="shared" ref="P195:P258" si="35">IF(O195&lt;4,1,0)</f>
        <v>0</v>
      </c>
      <c r="Q195">
        <f t="shared" si="27"/>
        <v>0</v>
      </c>
      <c r="R195">
        <f t="shared" si="28"/>
        <v>1</v>
      </c>
    </row>
    <row r="196" spans="1:18" x14ac:dyDescent="0.2">
      <c r="A196">
        <v>40029</v>
      </c>
      <c r="B196">
        <v>0</v>
      </c>
      <c r="C196">
        <f t="shared" si="29"/>
        <v>0</v>
      </c>
      <c r="D196">
        <f t="shared" si="30"/>
        <v>1</v>
      </c>
      <c r="E196">
        <v>2</v>
      </c>
      <c r="F196">
        <f t="shared" si="31"/>
        <v>0</v>
      </c>
      <c r="G196">
        <f t="shared" si="32"/>
        <v>1</v>
      </c>
      <c r="H196">
        <f t="shared" si="33"/>
        <v>0</v>
      </c>
      <c r="I196">
        <f t="shared" si="34"/>
        <v>0</v>
      </c>
      <c r="J196">
        <v>0</v>
      </c>
      <c r="K196">
        <v>2.2999999999999998</v>
      </c>
      <c r="L196">
        <v>9</v>
      </c>
      <c r="M196">
        <v>3.7</v>
      </c>
      <c r="N196">
        <v>11</v>
      </c>
      <c r="O196" s="1">
        <f>((INT(N196)-INT(L196))*3)-(((L196-INT(L196))*10) - ((N196-INT(N196))*10))</f>
        <v>6</v>
      </c>
      <c r="P196">
        <f t="shared" si="35"/>
        <v>0</v>
      </c>
      <c r="Q196">
        <f t="shared" si="27"/>
        <v>0</v>
      </c>
      <c r="R196">
        <f t="shared" si="28"/>
        <v>1</v>
      </c>
    </row>
    <row r="197" spans="1:18" x14ac:dyDescent="0.2">
      <c r="A197">
        <v>40307</v>
      </c>
      <c r="B197">
        <v>0</v>
      </c>
      <c r="C197">
        <f t="shared" si="29"/>
        <v>0</v>
      </c>
      <c r="D197">
        <f t="shared" si="30"/>
        <v>1</v>
      </c>
      <c r="E197">
        <v>4</v>
      </c>
      <c r="F197">
        <f t="shared" si="31"/>
        <v>0</v>
      </c>
      <c r="G197">
        <f t="shared" si="32"/>
        <v>0</v>
      </c>
      <c r="H197">
        <f t="shared" si="33"/>
        <v>0</v>
      </c>
      <c r="I197">
        <f t="shared" si="34"/>
        <v>1</v>
      </c>
      <c r="J197">
        <v>1</v>
      </c>
      <c r="K197">
        <v>2.7</v>
      </c>
      <c r="L197">
        <v>6.2</v>
      </c>
      <c r="M197">
        <v>4</v>
      </c>
      <c r="N197">
        <v>9</v>
      </c>
      <c r="O197" s="1">
        <f>((INT(N197)-INT(L197))*3)-(((L197-INT(L197))*10) - ((N197-INT(N197))*10))</f>
        <v>6.9999999999999982</v>
      </c>
      <c r="P197">
        <f t="shared" si="35"/>
        <v>0</v>
      </c>
      <c r="Q197">
        <f t="shared" si="27"/>
        <v>0</v>
      </c>
      <c r="R197">
        <f t="shared" si="28"/>
        <v>1</v>
      </c>
    </row>
    <row r="198" spans="1:18" x14ac:dyDescent="0.2">
      <c r="A198">
        <v>40646</v>
      </c>
      <c r="B198">
        <v>0</v>
      </c>
      <c r="C198">
        <f t="shared" si="29"/>
        <v>0</v>
      </c>
      <c r="D198">
        <f t="shared" si="30"/>
        <v>1</v>
      </c>
      <c r="E198">
        <v>2</v>
      </c>
      <c r="F198">
        <f t="shared" si="31"/>
        <v>0</v>
      </c>
      <c r="G198">
        <f t="shared" si="32"/>
        <v>1</v>
      </c>
      <c r="H198">
        <f t="shared" si="33"/>
        <v>0</v>
      </c>
      <c r="I198">
        <f t="shared" si="34"/>
        <v>0</v>
      </c>
      <c r="J198">
        <v>1</v>
      </c>
      <c r="K198">
        <v>3</v>
      </c>
      <c r="L198">
        <v>1.2</v>
      </c>
      <c r="M198">
        <v>3</v>
      </c>
      <c r="N198">
        <v>2.1</v>
      </c>
      <c r="O198" s="1">
        <f>((INT(N198)-INT(L198))*3)-(((L198-INT(L198))*10) - ((N198-INT(N198))*10))</f>
        <v>2.0000000000000013</v>
      </c>
      <c r="P198">
        <f t="shared" si="35"/>
        <v>1</v>
      </c>
      <c r="Q198">
        <f t="shared" si="27"/>
        <v>0</v>
      </c>
      <c r="R198">
        <f t="shared" si="28"/>
        <v>0</v>
      </c>
    </row>
    <row r="199" spans="1:18" x14ac:dyDescent="0.2">
      <c r="A199">
        <v>40853</v>
      </c>
      <c r="B199">
        <v>0</v>
      </c>
      <c r="C199">
        <f t="shared" si="29"/>
        <v>0</v>
      </c>
      <c r="D199">
        <f t="shared" si="30"/>
        <v>1</v>
      </c>
      <c r="E199">
        <v>2</v>
      </c>
      <c r="F199">
        <f t="shared" si="31"/>
        <v>0</v>
      </c>
      <c r="G199">
        <f t="shared" si="32"/>
        <v>1</v>
      </c>
      <c r="H199">
        <f t="shared" si="33"/>
        <v>0</v>
      </c>
      <c r="I199">
        <f t="shared" si="34"/>
        <v>0</v>
      </c>
      <c r="J199">
        <v>1</v>
      </c>
      <c r="K199">
        <v>2</v>
      </c>
      <c r="L199">
        <v>10.199999999999999</v>
      </c>
      <c r="M199">
        <v>3.7</v>
      </c>
      <c r="N199">
        <v>12</v>
      </c>
      <c r="O199" s="1">
        <f>((INT(N199)-INT(L199))*3)-(((L199-INT(L199))*10) - ((N199-INT(N199))*10))</f>
        <v>4.0000000000000071</v>
      </c>
      <c r="P199">
        <f t="shared" si="35"/>
        <v>0</v>
      </c>
      <c r="Q199">
        <f t="shared" si="27"/>
        <v>1</v>
      </c>
      <c r="R199">
        <f t="shared" si="28"/>
        <v>0</v>
      </c>
    </row>
    <row r="200" spans="1:18" x14ac:dyDescent="0.2">
      <c r="A200">
        <v>40937</v>
      </c>
      <c r="B200">
        <v>0</v>
      </c>
      <c r="C200">
        <f t="shared" si="29"/>
        <v>0</v>
      </c>
      <c r="D200">
        <f t="shared" si="30"/>
        <v>1</v>
      </c>
      <c r="E200">
        <v>2</v>
      </c>
      <c r="F200">
        <f t="shared" si="31"/>
        <v>0</v>
      </c>
      <c r="G200">
        <f t="shared" si="32"/>
        <v>1</v>
      </c>
      <c r="H200">
        <f t="shared" si="33"/>
        <v>0</v>
      </c>
      <c r="I200">
        <f t="shared" si="34"/>
        <v>0</v>
      </c>
      <c r="J200">
        <v>1</v>
      </c>
      <c r="K200">
        <v>2.7</v>
      </c>
      <c r="L200">
        <v>5</v>
      </c>
      <c r="M200">
        <v>2</v>
      </c>
      <c r="N200">
        <v>7.1</v>
      </c>
      <c r="O200" s="1">
        <f>((INT(N200)-INT(L200))*3)-(((L200-INT(L200))*10) - ((N200-INT(N200))*10))</f>
        <v>6.9999999999999964</v>
      </c>
      <c r="P200">
        <f t="shared" si="35"/>
        <v>0</v>
      </c>
      <c r="Q200">
        <f t="shared" si="27"/>
        <v>0</v>
      </c>
      <c r="R200">
        <f t="shared" si="28"/>
        <v>1</v>
      </c>
    </row>
    <row r="201" spans="1:18" x14ac:dyDescent="0.2">
      <c r="A201">
        <v>41034</v>
      </c>
      <c r="B201">
        <v>0</v>
      </c>
      <c r="C201">
        <f t="shared" si="29"/>
        <v>0</v>
      </c>
      <c r="D201">
        <f t="shared" si="30"/>
        <v>1</v>
      </c>
      <c r="E201">
        <v>3</v>
      </c>
      <c r="F201">
        <f t="shared" si="31"/>
        <v>0</v>
      </c>
      <c r="G201">
        <f t="shared" si="32"/>
        <v>0</v>
      </c>
      <c r="H201">
        <f t="shared" si="33"/>
        <v>1</v>
      </c>
      <c r="I201">
        <f t="shared" si="34"/>
        <v>0</v>
      </c>
      <c r="J201">
        <v>1</v>
      </c>
      <c r="K201">
        <v>2</v>
      </c>
      <c r="L201">
        <v>10.199999999999999</v>
      </c>
      <c r="M201">
        <v>2.7</v>
      </c>
      <c r="N201">
        <v>12.2</v>
      </c>
      <c r="O201" s="1">
        <f>((INT(N201)-INT(L201))*3)-(((L201-INT(L201))*10) - ((N201-INT(N201))*10))</f>
        <v>6</v>
      </c>
      <c r="P201">
        <f t="shared" si="35"/>
        <v>0</v>
      </c>
      <c r="Q201">
        <f t="shared" si="27"/>
        <v>0</v>
      </c>
      <c r="R201">
        <f t="shared" si="28"/>
        <v>1</v>
      </c>
    </row>
    <row r="202" spans="1:18" x14ac:dyDescent="0.2">
      <c r="A202">
        <v>41364</v>
      </c>
      <c r="B202">
        <v>0</v>
      </c>
      <c r="C202">
        <f t="shared" si="29"/>
        <v>0</v>
      </c>
      <c r="D202">
        <f t="shared" si="30"/>
        <v>1</v>
      </c>
      <c r="E202">
        <v>1</v>
      </c>
      <c r="F202">
        <f t="shared" si="31"/>
        <v>1</v>
      </c>
      <c r="G202">
        <f t="shared" si="32"/>
        <v>0</v>
      </c>
      <c r="H202">
        <f t="shared" si="33"/>
        <v>0</v>
      </c>
      <c r="I202">
        <f t="shared" si="34"/>
        <v>0</v>
      </c>
      <c r="J202">
        <v>0</v>
      </c>
      <c r="K202">
        <v>4</v>
      </c>
      <c r="L202">
        <v>10.199999999999999</v>
      </c>
      <c r="M202">
        <v>3.3</v>
      </c>
      <c r="N202">
        <v>12.2</v>
      </c>
      <c r="O202" s="1">
        <f>((INT(N202)-INT(L202))*3)-(((L202-INT(L202))*10) - ((N202-INT(N202))*10))</f>
        <v>6</v>
      </c>
      <c r="P202">
        <f t="shared" si="35"/>
        <v>0</v>
      </c>
      <c r="Q202">
        <f t="shared" si="27"/>
        <v>0</v>
      </c>
      <c r="R202">
        <f t="shared" si="28"/>
        <v>1</v>
      </c>
    </row>
    <row r="203" spans="1:18" x14ac:dyDescent="0.2">
      <c r="A203">
        <v>41773</v>
      </c>
      <c r="B203">
        <v>0</v>
      </c>
      <c r="C203">
        <f t="shared" si="29"/>
        <v>0</v>
      </c>
      <c r="D203">
        <f t="shared" si="30"/>
        <v>1</v>
      </c>
      <c r="E203">
        <v>3</v>
      </c>
      <c r="F203">
        <f t="shared" si="31"/>
        <v>0</v>
      </c>
      <c r="G203">
        <f t="shared" si="32"/>
        <v>0</v>
      </c>
      <c r="H203">
        <f t="shared" si="33"/>
        <v>1</v>
      </c>
      <c r="I203">
        <f t="shared" si="34"/>
        <v>0</v>
      </c>
      <c r="J203">
        <v>1</v>
      </c>
      <c r="K203">
        <v>3</v>
      </c>
      <c r="L203">
        <v>8</v>
      </c>
      <c r="M203">
        <v>3.3</v>
      </c>
      <c r="N203">
        <v>9</v>
      </c>
      <c r="O203" s="1">
        <f>((INT(N203)-INT(L203))*3)-(((L203-INT(L203))*10) - ((N203-INT(N203))*10))</f>
        <v>3</v>
      </c>
      <c r="P203">
        <f t="shared" si="35"/>
        <v>1</v>
      </c>
      <c r="Q203">
        <f t="shared" si="27"/>
        <v>0</v>
      </c>
      <c r="R203">
        <f t="shared" si="28"/>
        <v>0</v>
      </c>
    </row>
    <row r="204" spans="1:18" x14ac:dyDescent="0.2">
      <c r="A204">
        <v>41836</v>
      </c>
      <c r="B204">
        <v>0</v>
      </c>
      <c r="C204">
        <f t="shared" si="29"/>
        <v>0</v>
      </c>
      <c r="D204">
        <f t="shared" si="30"/>
        <v>1</v>
      </c>
      <c r="E204">
        <v>4</v>
      </c>
      <c r="F204">
        <f t="shared" si="31"/>
        <v>0</v>
      </c>
      <c r="G204">
        <f t="shared" si="32"/>
        <v>0</v>
      </c>
      <c r="H204">
        <f t="shared" si="33"/>
        <v>0</v>
      </c>
      <c r="I204">
        <f t="shared" si="34"/>
        <v>1</v>
      </c>
      <c r="J204">
        <v>1</v>
      </c>
      <c r="K204">
        <v>4.3</v>
      </c>
      <c r="L204">
        <v>10.199999999999999</v>
      </c>
      <c r="M204">
        <v>2.2999999999999998</v>
      </c>
      <c r="N204">
        <v>11.2</v>
      </c>
      <c r="O204" s="1">
        <f>((INT(N204)-INT(L204))*3)-(((L204-INT(L204))*10) - ((N204-INT(N204))*10))</f>
        <v>3</v>
      </c>
      <c r="P204">
        <f t="shared" si="35"/>
        <v>1</v>
      </c>
      <c r="Q204">
        <f t="shared" si="27"/>
        <v>0</v>
      </c>
      <c r="R204">
        <f t="shared" si="28"/>
        <v>0</v>
      </c>
    </row>
    <row r="205" spans="1:18" x14ac:dyDescent="0.2">
      <c r="A205">
        <v>41991</v>
      </c>
      <c r="B205">
        <v>0</v>
      </c>
      <c r="C205">
        <f t="shared" si="29"/>
        <v>0</v>
      </c>
      <c r="D205">
        <f t="shared" si="30"/>
        <v>1</v>
      </c>
      <c r="E205">
        <v>4</v>
      </c>
      <c r="F205">
        <f t="shared" si="31"/>
        <v>0</v>
      </c>
      <c r="G205">
        <f t="shared" si="32"/>
        <v>0</v>
      </c>
      <c r="H205">
        <f t="shared" si="33"/>
        <v>0</v>
      </c>
      <c r="I205">
        <f t="shared" si="34"/>
        <v>1</v>
      </c>
      <c r="J205">
        <v>0</v>
      </c>
      <c r="K205">
        <v>3</v>
      </c>
      <c r="L205">
        <v>4.2</v>
      </c>
      <c r="M205">
        <v>3</v>
      </c>
      <c r="N205">
        <v>6</v>
      </c>
      <c r="O205" s="1">
        <f>((INT(N205)-INT(L205))*3)-(((L205-INT(L205))*10) - ((N205-INT(N205))*10))</f>
        <v>3.9999999999999982</v>
      </c>
      <c r="P205">
        <f t="shared" si="35"/>
        <v>0</v>
      </c>
      <c r="Q205">
        <f t="shared" si="27"/>
        <v>1</v>
      </c>
      <c r="R205">
        <f t="shared" si="28"/>
        <v>0</v>
      </c>
    </row>
    <row r="206" spans="1:18" x14ac:dyDescent="0.2">
      <c r="A206">
        <v>42304</v>
      </c>
      <c r="B206">
        <v>0</v>
      </c>
      <c r="C206">
        <f t="shared" si="29"/>
        <v>0</v>
      </c>
      <c r="D206">
        <f t="shared" si="30"/>
        <v>1</v>
      </c>
      <c r="E206">
        <v>1</v>
      </c>
      <c r="F206">
        <f t="shared" si="31"/>
        <v>1</v>
      </c>
      <c r="G206">
        <f t="shared" si="32"/>
        <v>0</v>
      </c>
      <c r="H206">
        <f t="shared" si="33"/>
        <v>0</v>
      </c>
      <c r="I206">
        <f t="shared" si="34"/>
        <v>0</v>
      </c>
      <c r="J206">
        <v>0</v>
      </c>
      <c r="K206">
        <v>3.3</v>
      </c>
      <c r="L206">
        <v>9</v>
      </c>
      <c r="M206">
        <v>3</v>
      </c>
      <c r="N206">
        <v>10.199999999999999</v>
      </c>
      <c r="O206" s="1">
        <f>((INT(N206)-INT(L206))*3)-(((L206-INT(L206))*10) - ((N206-INT(N206))*10))</f>
        <v>4.9999999999999929</v>
      </c>
      <c r="P206">
        <f t="shared" si="35"/>
        <v>0</v>
      </c>
      <c r="Q206">
        <f t="shared" si="27"/>
        <v>1</v>
      </c>
      <c r="R206">
        <f t="shared" si="28"/>
        <v>0</v>
      </c>
    </row>
    <row r="207" spans="1:18" x14ac:dyDescent="0.2">
      <c r="A207">
        <v>42349</v>
      </c>
      <c r="B207">
        <v>1</v>
      </c>
      <c r="C207">
        <f t="shared" si="29"/>
        <v>1</v>
      </c>
      <c r="D207">
        <f t="shared" si="30"/>
        <v>0</v>
      </c>
      <c r="E207">
        <v>2</v>
      </c>
      <c r="F207">
        <f t="shared" si="31"/>
        <v>0</v>
      </c>
      <c r="G207">
        <f t="shared" si="32"/>
        <v>1</v>
      </c>
      <c r="H207">
        <f t="shared" si="33"/>
        <v>0</v>
      </c>
      <c r="I207">
        <f t="shared" si="34"/>
        <v>0</v>
      </c>
      <c r="J207">
        <v>0</v>
      </c>
      <c r="K207">
        <v>3.3</v>
      </c>
      <c r="L207">
        <v>9</v>
      </c>
      <c r="M207">
        <v>2.2999999999999998</v>
      </c>
      <c r="N207">
        <v>11</v>
      </c>
      <c r="O207" s="1">
        <f>((INT(N207)-INT(L207))*3)-(((L207-INT(L207))*10) - ((N207-INT(N207))*10))</f>
        <v>6</v>
      </c>
      <c r="P207">
        <f t="shared" si="35"/>
        <v>0</v>
      </c>
      <c r="Q207">
        <f t="shared" si="27"/>
        <v>0</v>
      </c>
      <c r="R207">
        <f t="shared" si="28"/>
        <v>1</v>
      </c>
    </row>
    <row r="208" spans="1:18" x14ac:dyDescent="0.2">
      <c r="A208">
        <v>42388</v>
      </c>
      <c r="B208">
        <v>0</v>
      </c>
      <c r="C208">
        <f t="shared" si="29"/>
        <v>0</v>
      </c>
      <c r="D208">
        <f t="shared" si="30"/>
        <v>1</v>
      </c>
      <c r="E208">
        <v>3</v>
      </c>
      <c r="F208">
        <f t="shared" si="31"/>
        <v>0</v>
      </c>
      <c r="G208">
        <f t="shared" si="32"/>
        <v>0</v>
      </c>
      <c r="H208">
        <f t="shared" si="33"/>
        <v>1</v>
      </c>
      <c r="I208">
        <f t="shared" si="34"/>
        <v>0</v>
      </c>
      <c r="J208">
        <v>0</v>
      </c>
      <c r="K208">
        <v>4.3</v>
      </c>
      <c r="L208">
        <v>8</v>
      </c>
      <c r="M208">
        <v>4.3</v>
      </c>
      <c r="N208">
        <v>10.199999999999999</v>
      </c>
      <c r="O208" s="1">
        <f>((INT(N208)-INT(L208))*3)-(((L208-INT(L208))*10) - ((N208-INT(N208))*10))</f>
        <v>7.9999999999999929</v>
      </c>
      <c r="P208">
        <f t="shared" si="35"/>
        <v>0</v>
      </c>
      <c r="Q208">
        <f t="shared" si="27"/>
        <v>0</v>
      </c>
      <c r="R208">
        <f t="shared" si="28"/>
        <v>1</v>
      </c>
    </row>
    <row r="209" spans="1:18" x14ac:dyDescent="0.2">
      <c r="A209">
        <v>42399</v>
      </c>
      <c r="B209">
        <v>0</v>
      </c>
      <c r="C209">
        <f t="shared" si="29"/>
        <v>0</v>
      </c>
      <c r="D209">
        <f t="shared" si="30"/>
        <v>1</v>
      </c>
      <c r="E209">
        <v>1</v>
      </c>
      <c r="F209">
        <f t="shared" si="31"/>
        <v>1</v>
      </c>
      <c r="G209">
        <f t="shared" si="32"/>
        <v>0</v>
      </c>
      <c r="H209">
        <f t="shared" si="33"/>
        <v>0</v>
      </c>
      <c r="I209">
        <f t="shared" si="34"/>
        <v>0</v>
      </c>
      <c r="J209">
        <v>0</v>
      </c>
      <c r="K209">
        <v>2</v>
      </c>
      <c r="L209">
        <v>8.1999999999999993</v>
      </c>
      <c r="M209">
        <v>2</v>
      </c>
      <c r="N209">
        <v>9.1999999999999993</v>
      </c>
      <c r="O209" s="1">
        <f>((INT(N209)-INT(L209))*3)-(((L209-INT(L209))*10) - ((N209-INT(N209))*10))</f>
        <v>3</v>
      </c>
      <c r="P209">
        <f t="shared" si="35"/>
        <v>1</v>
      </c>
      <c r="Q209">
        <f t="shared" si="27"/>
        <v>0</v>
      </c>
      <c r="R209">
        <f t="shared" si="28"/>
        <v>0</v>
      </c>
    </row>
    <row r="210" spans="1:18" x14ac:dyDescent="0.2">
      <c r="A210">
        <v>42507</v>
      </c>
      <c r="B210">
        <v>0</v>
      </c>
      <c r="C210">
        <f t="shared" si="29"/>
        <v>0</v>
      </c>
      <c r="D210">
        <f t="shared" si="30"/>
        <v>1</v>
      </c>
      <c r="E210">
        <v>2</v>
      </c>
      <c r="F210">
        <f t="shared" si="31"/>
        <v>0</v>
      </c>
      <c r="G210">
        <f t="shared" si="32"/>
        <v>1</v>
      </c>
      <c r="H210">
        <f t="shared" si="33"/>
        <v>0</v>
      </c>
      <c r="I210">
        <f t="shared" si="34"/>
        <v>0</v>
      </c>
      <c r="J210">
        <v>0</v>
      </c>
      <c r="K210">
        <v>2</v>
      </c>
      <c r="L210">
        <v>2</v>
      </c>
      <c r="M210">
        <v>2</v>
      </c>
      <c r="N210">
        <v>7.2</v>
      </c>
      <c r="O210" s="1">
        <f>((INT(N210)-INT(L210))*3)-(((L210-INT(L210))*10) - ((N210-INT(N210))*10))</f>
        <v>17</v>
      </c>
      <c r="P210">
        <f t="shared" si="35"/>
        <v>0</v>
      </c>
      <c r="Q210">
        <f t="shared" si="27"/>
        <v>0</v>
      </c>
      <c r="R210">
        <f t="shared" si="28"/>
        <v>1</v>
      </c>
    </row>
    <row r="211" spans="1:18" x14ac:dyDescent="0.2">
      <c r="A211">
        <v>42879</v>
      </c>
      <c r="B211">
        <v>0</v>
      </c>
      <c r="C211">
        <f t="shared" si="29"/>
        <v>0</v>
      </c>
      <c r="D211">
        <f t="shared" si="30"/>
        <v>1</v>
      </c>
      <c r="E211">
        <v>1</v>
      </c>
      <c r="F211">
        <f t="shared" si="31"/>
        <v>1</v>
      </c>
      <c r="G211">
        <f t="shared" si="32"/>
        <v>0</v>
      </c>
      <c r="H211">
        <f t="shared" si="33"/>
        <v>0</v>
      </c>
      <c r="I211">
        <f t="shared" si="34"/>
        <v>0</v>
      </c>
      <c r="J211">
        <v>0</v>
      </c>
      <c r="K211">
        <v>4.3</v>
      </c>
      <c r="L211">
        <v>12</v>
      </c>
      <c r="M211">
        <v>4.3</v>
      </c>
      <c r="N211">
        <v>10.199999999999999</v>
      </c>
      <c r="O211" s="1">
        <f>((INT(N211)-INT(L211))*3)-(((L211-INT(L211))*10) - ((N211-INT(N211))*10))</f>
        <v>-4.0000000000000071</v>
      </c>
      <c r="P211">
        <f t="shared" si="35"/>
        <v>1</v>
      </c>
      <c r="Q211">
        <f t="shared" si="27"/>
        <v>0</v>
      </c>
      <c r="R211">
        <f t="shared" si="28"/>
        <v>0</v>
      </c>
    </row>
    <row r="212" spans="1:18" x14ac:dyDescent="0.2">
      <c r="A212">
        <v>43554</v>
      </c>
      <c r="B212">
        <v>0</v>
      </c>
      <c r="C212">
        <f t="shared" si="29"/>
        <v>0</v>
      </c>
      <c r="D212">
        <f t="shared" si="30"/>
        <v>1</v>
      </c>
      <c r="E212">
        <v>4</v>
      </c>
      <c r="F212">
        <f t="shared" si="31"/>
        <v>0</v>
      </c>
      <c r="G212">
        <f t="shared" si="32"/>
        <v>0</v>
      </c>
      <c r="H212">
        <f t="shared" si="33"/>
        <v>0</v>
      </c>
      <c r="I212">
        <f t="shared" si="34"/>
        <v>1</v>
      </c>
      <c r="J212">
        <v>0</v>
      </c>
      <c r="K212">
        <v>2</v>
      </c>
      <c r="L212">
        <v>3.2</v>
      </c>
      <c r="M212">
        <v>2.7</v>
      </c>
      <c r="N212">
        <v>4.2</v>
      </c>
      <c r="O212" s="1">
        <f>((INT(N212)-INT(L212))*3)-(((L212-INT(L212))*10) - ((N212-INT(N212))*10))</f>
        <v>3</v>
      </c>
      <c r="P212">
        <f t="shared" si="35"/>
        <v>1</v>
      </c>
      <c r="Q212">
        <f t="shared" si="27"/>
        <v>0</v>
      </c>
      <c r="R212">
        <f t="shared" si="28"/>
        <v>0</v>
      </c>
    </row>
    <row r="213" spans="1:18" x14ac:dyDescent="0.2">
      <c r="A213">
        <v>43616</v>
      </c>
      <c r="B213">
        <v>0</v>
      </c>
      <c r="C213">
        <f t="shared" si="29"/>
        <v>0</v>
      </c>
      <c r="D213">
        <f t="shared" si="30"/>
        <v>1</v>
      </c>
      <c r="E213">
        <v>1</v>
      </c>
      <c r="F213">
        <f t="shared" si="31"/>
        <v>1</v>
      </c>
      <c r="G213">
        <f t="shared" si="32"/>
        <v>0</v>
      </c>
      <c r="H213">
        <f t="shared" si="33"/>
        <v>0</v>
      </c>
      <c r="I213">
        <f t="shared" si="34"/>
        <v>0</v>
      </c>
      <c r="J213">
        <v>0</v>
      </c>
      <c r="K213">
        <v>3.7</v>
      </c>
      <c r="L213">
        <v>11</v>
      </c>
      <c r="M213">
        <v>2.7</v>
      </c>
      <c r="N213">
        <v>12.2</v>
      </c>
      <c r="O213" s="1">
        <f>((INT(N213)-INT(L213))*3)-(((L213-INT(L213))*10) - ((N213-INT(N213))*10))</f>
        <v>4.9999999999999929</v>
      </c>
      <c r="P213">
        <f t="shared" si="35"/>
        <v>0</v>
      </c>
      <c r="Q213">
        <f t="shared" si="27"/>
        <v>1</v>
      </c>
      <c r="R213">
        <f t="shared" si="28"/>
        <v>0</v>
      </c>
    </row>
    <row r="214" spans="1:18" x14ac:dyDescent="0.2">
      <c r="A214">
        <v>43698</v>
      </c>
      <c r="B214">
        <v>0</v>
      </c>
      <c r="C214">
        <f t="shared" si="29"/>
        <v>0</v>
      </c>
      <c r="D214">
        <f t="shared" si="30"/>
        <v>1</v>
      </c>
      <c r="E214">
        <v>1</v>
      </c>
      <c r="F214">
        <f t="shared" si="31"/>
        <v>1</v>
      </c>
      <c r="G214">
        <f t="shared" si="32"/>
        <v>0</v>
      </c>
      <c r="H214">
        <f t="shared" si="33"/>
        <v>0</v>
      </c>
      <c r="I214">
        <f t="shared" si="34"/>
        <v>0</v>
      </c>
      <c r="J214">
        <v>0</v>
      </c>
      <c r="K214">
        <v>2</v>
      </c>
      <c r="L214">
        <v>9</v>
      </c>
      <c r="M214">
        <v>3</v>
      </c>
      <c r="N214">
        <v>11</v>
      </c>
      <c r="O214" s="1">
        <f>((INT(N214)-INT(L214))*3)-(((L214-INT(L214))*10) - ((N214-INT(N214))*10))</f>
        <v>6</v>
      </c>
      <c r="P214">
        <f t="shared" si="35"/>
        <v>0</v>
      </c>
      <c r="Q214">
        <f t="shared" si="27"/>
        <v>0</v>
      </c>
      <c r="R214">
        <f t="shared" si="28"/>
        <v>1</v>
      </c>
    </row>
    <row r="215" spans="1:18" x14ac:dyDescent="0.2">
      <c r="A215">
        <v>44618</v>
      </c>
      <c r="B215">
        <v>0</v>
      </c>
      <c r="C215">
        <f t="shared" si="29"/>
        <v>0</v>
      </c>
      <c r="D215">
        <f t="shared" si="30"/>
        <v>1</v>
      </c>
      <c r="E215">
        <v>2</v>
      </c>
      <c r="F215">
        <f t="shared" si="31"/>
        <v>0</v>
      </c>
      <c r="G215">
        <f t="shared" si="32"/>
        <v>1</v>
      </c>
      <c r="H215">
        <f t="shared" si="33"/>
        <v>0</v>
      </c>
      <c r="I215">
        <f t="shared" si="34"/>
        <v>0</v>
      </c>
      <c r="J215">
        <v>0</v>
      </c>
      <c r="K215">
        <v>2</v>
      </c>
      <c r="L215">
        <v>9</v>
      </c>
      <c r="M215">
        <v>2.2999999999999998</v>
      </c>
      <c r="N215">
        <v>10</v>
      </c>
      <c r="O215" s="1">
        <f>((INT(N215)-INT(L215))*3)-(((L215-INT(L215))*10) - ((N215-INT(N215))*10))</f>
        <v>3</v>
      </c>
      <c r="P215">
        <f t="shared" si="35"/>
        <v>1</v>
      </c>
      <c r="Q215">
        <f t="shared" ref="Q215:Q278" si="36">IF(AND(O215&gt;3,O215&lt;6),1,0)</f>
        <v>0</v>
      </c>
      <c r="R215">
        <f t="shared" ref="R215:R278" si="37">IF(O215&gt;5,1,0)</f>
        <v>0</v>
      </c>
    </row>
    <row r="216" spans="1:18" x14ac:dyDescent="0.2">
      <c r="A216">
        <v>44767</v>
      </c>
      <c r="B216">
        <v>0</v>
      </c>
      <c r="C216">
        <f t="shared" si="29"/>
        <v>0</v>
      </c>
      <c r="D216">
        <f t="shared" si="30"/>
        <v>1</v>
      </c>
      <c r="E216">
        <v>4</v>
      </c>
      <c r="F216">
        <f t="shared" si="31"/>
        <v>0</v>
      </c>
      <c r="G216">
        <f t="shared" si="32"/>
        <v>0</v>
      </c>
      <c r="H216">
        <f t="shared" si="33"/>
        <v>0</v>
      </c>
      <c r="I216">
        <f t="shared" si="34"/>
        <v>1</v>
      </c>
      <c r="J216">
        <v>0</v>
      </c>
      <c r="K216">
        <v>4</v>
      </c>
      <c r="L216">
        <v>7</v>
      </c>
      <c r="M216">
        <v>4.3</v>
      </c>
      <c r="N216">
        <v>8.1</v>
      </c>
      <c r="O216" s="1">
        <f>((INT(N216)-INT(L216))*3)-(((L216-INT(L216))*10) - ((N216-INT(N216))*10))</f>
        <v>3.9999999999999964</v>
      </c>
      <c r="P216">
        <f t="shared" si="35"/>
        <v>0</v>
      </c>
      <c r="Q216">
        <f t="shared" si="36"/>
        <v>1</v>
      </c>
      <c r="R216">
        <f t="shared" si="37"/>
        <v>0</v>
      </c>
    </row>
    <row r="217" spans="1:18" x14ac:dyDescent="0.2">
      <c r="A217">
        <v>44942</v>
      </c>
      <c r="B217">
        <v>0</v>
      </c>
      <c r="C217">
        <f t="shared" si="29"/>
        <v>0</v>
      </c>
      <c r="D217">
        <f t="shared" si="30"/>
        <v>1</v>
      </c>
      <c r="E217">
        <v>1</v>
      </c>
      <c r="F217">
        <f t="shared" si="31"/>
        <v>1</v>
      </c>
      <c r="G217">
        <f t="shared" si="32"/>
        <v>0</v>
      </c>
      <c r="H217">
        <f t="shared" si="33"/>
        <v>0</v>
      </c>
      <c r="I217">
        <f t="shared" si="34"/>
        <v>0</v>
      </c>
      <c r="J217">
        <v>0</v>
      </c>
      <c r="K217">
        <v>2</v>
      </c>
      <c r="L217">
        <v>9</v>
      </c>
      <c r="M217">
        <v>2</v>
      </c>
      <c r="N217">
        <v>11</v>
      </c>
      <c r="O217" s="1">
        <f>((INT(N217)-INT(L217))*3)-(((L217-INT(L217))*10) - ((N217-INT(N217))*10))</f>
        <v>6</v>
      </c>
      <c r="P217">
        <f t="shared" si="35"/>
        <v>0</v>
      </c>
      <c r="Q217">
        <f t="shared" si="36"/>
        <v>0</v>
      </c>
      <c r="R217">
        <f t="shared" si="37"/>
        <v>1</v>
      </c>
    </row>
    <row r="218" spans="1:18" x14ac:dyDescent="0.2">
      <c r="A218">
        <v>45198</v>
      </c>
      <c r="B218">
        <v>0</v>
      </c>
      <c r="C218">
        <f t="shared" si="29"/>
        <v>0</v>
      </c>
      <c r="D218">
        <f t="shared" si="30"/>
        <v>1</v>
      </c>
      <c r="E218">
        <v>1</v>
      </c>
      <c r="F218">
        <f t="shared" si="31"/>
        <v>1</v>
      </c>
      <c r="G218">
        <f t="shared" si="32"/>
        <v>0</v>
      </c>
      <c r="H218">
        <f t="shared" si="33"/>
        <v>0</v>
      </c>
      <c r="I218">
        <f t="shared" si="34"/>
        <v>0</v>
      </c>
      <c r="J218">
        <v>1</v>
      </c>
      <c r="K218">
        <v>3.7</v>
      </c>
      <c r="L218">
        <v>8.1999999999999993</v>
      </c>
      <c r="M218">
        <v>4</v>
      </c>
      <c r="N218">
        <v>10</v>
      </c>
      <c r="O218" s="1">
        <f>((INT(N218)-INT(L218))*3)-(((L218-INT(L218))*10) - ((N218-INT(N218))*10))</f>
        <v>4.0000000000000071</v>
      </c>
      <c r="P218">
        <f t="shared" si="35"/>
        <v>0</v>
      </c>
      <c r="Q218">
        <f t="shared" si="36"/>
        <v>1</v>
      </c>
      <c r="R218">
        <f t="shared" si="37"/>
        <v>0</v>
      </c>
    </row>
    <row r="219" spans="1:18" x14ac:dyDescent="0.2">
      <c r="A219">
        <v>45203</v>
      </c>
      <c r="B219">
        <v>0</v>
      </c>
      <c r="C219">
        <f t="shared" si="29"/>
        <v>0</v>
      </c>
      <c r="D219">
        <f t="shared" si="30"/>
        <v>1</v>
      </c>
      <c r="E219">
        <v>1</v>
      </c>
      <c r="F219">
        <f t="shared" si="31"/>
        <v>1</v>
      </c>
      <c r="G219">
        <f t="shared" si="32"/>
        <v>0</v>
      </c>
      <c r="H219">
        <f t="shared" si="33"/>
        <v>0</v>
      </c>
      <c r="I219">
        <f t="shared" si="34"/>
        <v>0</v>
      </c>
      <c r="J219">
        <v>1</v>
      </c>
      <c r="K219">
        <v>2.7</v>
      </c>
      <c r="L219">
        <v>8.1</v>
      </c>
      <c r="M219">
        <v>3.7</v>
      </c>
      <c r="N219">
        <v>9</v>
      </c>
      <c r="O219" s="1">
        <f>((INT(N219)-INT(L219))*3)-(((L219-INT(L219))*10) - ((N219-INT(N219))*10))</f>
        <v>2.0000000000000036</v>
      </c>
      <c r="P219">
        <f t="shared" si="35"/>
        <v>1</v>
      </c>
      <c r="Q219">
        <f t="shared" si="36"/>
        <v>0</v>
      </c>
      <c r="R219">
        <f t="shared" si="37"/>
        <v>0</v>
      </c>
    </row>
    <row r="220" spans="1:18" x14ac:dyDescent="0.2">
      <c r="A220">
        <v>45440</v>
      </c>
      <c r="B220">
        <v>1</v>
      </c>
      <c r="C220">
        <f t="shared" si="29"/>
        <v>1</v>
      </c>
      <c r="D220">
        <f t="shared" si="30"/>
        <v>0</v>
      </c>
      <c r="E220">
        <v>1</v>
      </c>
      <c r="F220">
        <f t="shared" si="31"/>
        <v>1</v>
      </c>
      <c r="G220">
        <f t="shared" si="32"/>
        <v>0</v>
      </c>
      <c r="H220">
        <f t="shared" si="33"/>
        <v>0</v>
      </c>
      <c r="I220">
        <f t="shared" si="34"/>
        <v>0</v>
      </c>
      <c r="J220">
        <v>1</v>
      </c>
      <c r="K220">
        <v>2.2999999999999998</v>
      </c>
      <c r="L220">
        <v>10</v>
      </c>
      <c r="M220">
        <v>2</v>
      </c>
      <c r="N220">
        <v>11.2</v>
      </c>
      <c r="O220" s="1">
        <f>((INT(N220)-INT(L220))*3)-(((L220-INT(L220))*10) - ((N220-INT(N220))*10))</f>
        <v>4.9999999999999929</v>
      </c>
      <c r="P220">
        <f t="shared" si="35"/>
        <v>0</v>
      </c>
      <c r="Q220">
        <f t="shared" si="36"/>
        <v>1</v>
      </c>
      <c r="R220">
        <f t="shared" si="37"/>
        <v>0</v>
      </c>
    </row>
    <row r="221" spans="1:18" x14ac:dyDescent="0.2">
      <c r="A221">
        <v>45508</v>
      </c>
      <c r="B221">
        <v>0</v>
      </c>
      <c r="C221">
        <f t="shared" si="29"/>
        <v>0</v>
      </c>
      <c r="D221">
        <f t="shared" si="30"/>
        <v>1</v>
      </c>
      <c r="E221">
        <v>1</v>
      </c>
      <c r="F221">
        <f t="shared" si="31"/>
        <v>1</v>
      </c>
      <c r="G221">
        <f t="shared" si="32"/>
        <v>0</v>
      </c>
      <c r="H221">
        <f t="shared" si="33"/>
        <v>0</v>
      </c>
      <c r="I221">
        <f t="shared" si="34"/>
        <v>0</v>
      </c>
      <c r="J221">
        <v>1</v>
      </c>
      <c r="K221">
        <v>3</v>
      </c>
      <c r="L221">
        <v>10.199999999999999</v>
      </c>
      <c r="M221">
        <v>3</v>
      </c>
      <c r="N221">
        <v>12</v>
      </c>
      <c r="O221" s="1">
        <f>((INT(N221)-INT(L221))*3)-(((L221-INT(L221))*10) - ((N221-INT(N221))*10))</f>
        <v>4.0000000000000071</v>
      </c>
      <c r="P221">
        <f t="shared" si="35"/>
        <v>0</v>
      </c>
      <c r="Q221">
        <f t="shared" si="36"/>
        <v>1</v>
      </c>
      <c r="R221">
        <f t="shared" si="37"/>
        <v>0</v>
      </c>
    </row>
    <row r="222" spans="1:18" x14ac:dyDescent="0.2">
      <c r="A222">
        <v>45771</v>
      </c>
      <c r="B222">
        <v>0</v>
      </c>
      <c r="C222">
        <f t="shared" si="29"/>
        <v>0</v>
      </c>
      <c r="D222">
        <f t="shared" si="30"/>
        <v>1</v>
      </c>
      <c r="E222">
        <v>4</v>
      </c>
      <c r="F222">
        <f t="shared" si="31"/>
        <v>0</v>
      </c>
      <c r="G222">
        <f t="shared" si="32"/>
        <v>0</v>
      </c>
      <c r="H222">
        <f t="shared" si="33"/>
        <v>0</v>
      </c>
      <c r="I222">
        <f t="shared" si="34"/>
        <v>1</v>
      </c>
      <c r="J222">
        <v>0</v>
      </c>
      <c r="K222">
        <v>3</v>
      </c>
      <c r="L222">
        <v>1</v>
      </c>
      <c r="M222">
        <v>3.3</v>
      </c>
      <c r="N222">
        <v>3.1</v>
      </c>
      <c r="O222" s="1">
        <f>((INT(N222)-INT(L222))*3)-(((L222-INT(L222))*10) - ((N222-INT(N222))*10))</f>
        <v>7.0000000000000009</v>
      </c>
      <c r="P222">
        <f t="shared" si="35"/>
        <v>0</v>
      </c>
      <c r="Q222">
        <f t="shared" si="36"/>
        <v>0</v>
      </c>
      <c r="R222">
        <f t="shared" si="37"/>
        <v>1</v>
      </c>
    </row>
    <row r="223" spans="1:18" x14ac:dyDescent="0.2">
      <c r="A223">
        <v>45788</v>
      </c>
      <c r="B223">
        <v>0</v>
      </c>
      <c r="C223">
        <f t="shared" si="29"/>
        <v>0</v>
      </c>
      <c r="D223">
        <f t="shared" si="30"/>
        <v>1</v>
      </c>
      <c r="E223">
        <v>2</v>
      </c>
      <c r="F223">
        <f t="shared" si="31"/>
        <v>0</v>
      </c>
      <c r="G223">
        <f t="shared" si="32"/>
        <v>1</v>
      </c>
      <c r="H223">
        <f t="shared" si="33"/>
        <v>0</v>
      </c>
      <c r="I223">
        <f t="shared" si="34"/>
        <v>0</v>
      </c>
      <c r="J223">
        <v>1</v>
      </c>
      <c r="K223">
        <v>2</v>
      </c>
      <c r="L223">
        <v>6.2</v>
      </c>
      <c r="M223">
        <v>2.2999999999999998</v>
      </c>
      <c r="N223">
        <v>8</v>
      </c>
      <c r="O223" s="1">
        <f>((INT(N223)-INT(L223))*3)-(((L223-INT(L223))*10) - ((N223-INT(N223))*10))</f>
        <v>3.9999999999999982</v>
      </c>
      <c r="P223">
        <f t="shared" si="35"/>
        <v>0</v>
      </c>
      <c r="Q223">
        <f t="shared" si="36"/>
        <v>1</v>
      </c>
      <c r="R223">
        <f t="shared" si="37"/>
        <v>0</v>
      </c>
    </row>
    <row r="224" spans="1:18" x14ac:dyDescent="0.2">
      <c r="A224">
        <v>45824</v>
      </c>
      <c r="B224">
        <v>0</v>
      </c>
      <c r="C224">
        <f t="shared" si="29"/>
        <v>0</v>
      </c>
      <c r="D224">
        <f t="shared" si="30"/>
        <v>1</v>
      </c>
      <c r="E224">
        <v>1</v>
      </c>
      <c r="F224">
        <f t="shared" si="31"/>
        <v>1</v>
      </c>
      <c r="G224">
        <f t="shared" si="32"/>
        <v>0</v>
      </c>
      <c r="H224">
        <f t="shared" si="33"/>
        <v>0</v>
      </c>
      <c r="I224">
        <f t="shared" si="34"/>
        <v>0</v>
      </c>
      <c r="J224">
        <v>0</v>
      </c>
      <c r="K224">
        <v>3</v>
      </c>
      <c r="L224">
        <v>8</v>
      </c>
      <c r="M224">
        <v>2.7</v>
      </c>
      <c r="N224">
        <v>10.1</v>
      </c>
      <c r="O224" s="1">
        <f>((INT(N224)-INT(L224))*3)-(((L224-INT(L224))*10) - ((N224-INT(N224))*10))</f>
        <v>6.9999999999999964</v>
      </c>
      <c r="P224">
        <f t="shared" si="35"/>
        <v>0</v>
      </c>
      <c r="Q224">
        <f t="shared" si="36"/>
        <v>0</v>
      </c>
      <c r="R224">
        <f t="shared" si="37"/>
        <v>1</v>
      </c>
    </row>
    <row r="225" spans="1:18" x14ac:dyDescent="0.2">
      <c r="A225">
        <v>45828</v>
      </c>
      <c r="B225">
        <v>0</v>
      </c>
      <c r="C225">
        <f t="shared" si="29"/>
        <v>0</v>
      </c>
      <c r="D225">
        <f t="shared" si="30"/>
        <v>1</v>
      </c>
      <c r="E225">
        <v>4</v>
      </c>
      <c r="F225">
        <f t="shared" si="31"/>
        <v>0</v>
      </c>
      <c r="G225">
        <f t="shared" si="32"/>
        <v>0</v>
      </c>
      <c r="H225">
        <f t="shared" si="33"/>
        <v>0</v>
      </c>
      <c r="I225">
        <f t="shared" si="34"/>
        <v>1</v>
      </c>
      <c r="J225">
        <v>0</v>
      </c>
      <c r="K225">
        <v>4</v>
      </c>
      <c r="L225">
        <v>7.2</v>
      </c>
      <c r="M225">
        <v>4</v>
      </c>
      <c r="N225">
        <v>9.1</v>
      </c>
      <c r="O225" s="1">
        <f>((INT(N225)-INT(L225))*3)-(((L225-INT(L225))*10) - ((N225-INT(N225))*10))</f>
        <v>4.9999999999999947</v>
      </c>
      <c r="P225">
        <f t="shared" si="35"/>
        <v>0</v>
      </c>
      <c r="Q225">
        <f t="shared" si="36"/>
        <v>1</v>
      </c>
      <c r="R225">
        <f t="shared" si="37"/>
        <v>0</v>
      </c>
    </row>
    <row r="226" spans="1:18" x14ac:dyDescent="0.2">
      <c r="A226">
        <v>45962</v>
      </c>
      <c r="B226">
        <v>0</v>
      </c>
      <c r="C226">
        <f t="shared" si="29"/>
        <v>0</v>
      </c>
      <c r="D226">
        <f t="shared" si="30"/>
        <v>1</v>
      </c>
      <c r="E226">
        <v>2</v>
      </c>
      <c r="F226">
        <f t="shared" si="31"/>
        <v>0</v>
      </c>
      <c r="G226">
        <f t="shared" si="32"/>
        <v>1</v>
      </c>
      <c r="H226">
        <f t="shared" si="33"/>
        <v>0</v>
      </c>
      <c r="I226">
        <f t="shared" si="34"/>
        <v>0</v>
      </c>
      <c r="J226">
        <v>1</v>
      </c>
      <c r="K226">
        <v>3</v>
      </c>
      <c r="L226">
        <v>10</v>
      </c>
      <c r="M226">
        <v>3.7</v>
      </c>
      <c r="N226">
        <v>12</v>
      </c>
      <c r="O226" s="1">
        <f>((INT(N226)-INT(L226))*3)-(((L226-INT(L226))*10) - ((N226-INT(N226))*10))</f>
        <v>6</v>
      </c>
      <c r="P226">
        <f t="shared" si="35"/>
        <v>0</v>
      </c>
      <c r="Q226">
        <f t="shared" si="36"/>
        <v>0</v>
      </c>
      <c r="R226">
        <f t="shared" si="37"/>
        <v>1</v>
      </c>
    </row>
    <row r="227" spans="1:18" x14ac:dyDescent="0.2">
      <c r="A227">
        <v>46057</v>
      </c>
      <c r="B227">
        <v>0</v>
      </c>
      <c r="C227">
        <f t="shared" si="29"/>
        <v>0</v>
      </c>
      <c r="D227">
        <f t="shared" si="30"/>
        <v>1</v>
      </c>
      <c r="E227">
        <v>1</v>
      </c>
      <c r="F227">
        <f t="shared" si="31"/>
        <v>1</v>
      </c>
      <c r="G227">
        <f t="shared" si="32"/>
        <v>0</v>
      </c>
      <c r="H227">
        <f t="shared" si="33"/>
        <v>0</v>
      </c>
      <c r="I227">
        <f t="shared" si="34"/>
        <v>0</v>
      </c>
      <c r="J227">
        <v>0</v>
      </c>
      <c r="K227">
        <v>4</v>
      </c>
      <c r="L227">
        <v>8.1999999999999993</v>
      </c>
      <c r="M227">
        <v>3.3</v>
      </c>
      <c r="N227">
        <v>10.1</v>
      </c>
      <c r="O227" s="1">
        <f>((INT(N227)-INT(L227))*3)-(((L227-INT(L227))*10) - ((N227-INT(N227))*10))</f>
        <v>5.0000000000000036</v>
      </c>
      <c r="P227">
        <f t="shared" si="35"/>
        <v>0</v>
      </c>
      <c r="Q227">
        <f t="shared" si="36"/>
        <v>1</v>
      </c>
      <c r="R227">
        <f t="shared" si="37"/>
        <v>0</v>
      </c>
    </row>
    <row r="228" spans="1:18" x14ac:dyDescent="0.2">
      <c r="A228">
        <v>46097</v>
      </c>
      <c r="B228">
        <v>0</v>
      </c>
      <c r="C228">
        <f t="shared" si="29"/>
        <v>0</v>
      </c>
      <c r="D228">
        <f t="shared" si="30"/>
        <v>1</v>
      </c>
      <c r="E228">
        <v>1</v>
      </c>
      <c r="F228">
        <f t="shared" si="31"/>
        <v>1</v>
      </c>
      <c r="G228">
        <f t="shared" si="32"/>
        <v>0</v>
      </c>
      <c r="H228">
        <f t="shared" si="33"/>
        <v>0</v>
      </c>
      <c r="I228">
        <f t="shared" si="34"/>
        <v>0</v>
      </c>
      <c r="J228">
        <v>1</v>
      </c>
      <c r="K228">
        <v>3.7</v>
      </c>
      <c r="L228">
        <v>9.1999999999999993</v>
      </c>
      <c r="M228">
        <v>3</v>
      </c>
      <c r="N228">
        <v>11</v>
      </c>
      <c r="O228" s="1">
        <f>((INT(N228)-INT(L228))*3)-(((L228-INT(L228))*10) - ((N228-INT(N228))*10))</f>
        <v>4.0000000000000071</v>
      </c>
      <c r="P228">
        <f t="shared" si="35"/>
        <v>0</v>
      </c>
      <c r="Q228">
        <f t="shared" si="36"/>
        <v>1</v>
      </c>
      <c r="R228">
        <f t="shared" si="37"/>
        <v>0</v>
      </c>
    </row>
    <row r="229" spans="1:18" x14ac:dyDescent="0.2">
      <c r="A229">
        <v>47048</v>
      </c>
      <c r="B229">
        <v>0</v>
      </c>
      <c r="C229">
        <f t="shared" si="29"/>
        <v>0</v>
      </c>
      <c r="D229">
        <f t="shared" si="30"/>
        <v>1</v>
      </c>
      <c r="E229">
        <v>1</v>
      </c>
      <c r="F229">
        <f t="shared" si="31"/>
        <v>1</v>
      </c>
      <c r="G229">
        <f t="shared" si="32"/>
        <v>0</v>
      </c>
      <c r="H229">
        <f t="shared" si="33"/>
        <v>0</v>
      </c>
      <c r="I229">
        <f t="shared" si="34"/>
        <v>0</v>
      </c>
      <c r="J229">
        <v>0</v>
      </c>
      <c r="K229">
        <v>2.7</v>
      </c>
      <c r="L229">
        <v>10.199999999999999</v>
      </c>
      <c r="M229">
        <v>3</v>
      </c>
      <c r="N229">
        <v>12</v>
      </c>
      <c r="O229" s="1">
        <f>((INT(N229)-INT(L229))*3)-(((L229-INT(L229))*10) - ((N229-INT(N229))*10))</f>
        <v>4.0000000000000071</v>
      </c>
      <c r="P229">
        <f t="shared" si="35"/>
        <v>0</v>
      </c>
      <c r="Q229">
        <f t="shared" si="36"/>
        <v>1</v>
      </c>
      <c r="R229">
        <f t="shared" si="37"/>
        <v>0</v>
      </c>
    </row>
    <row r="230" spans="1:18" x14ac:dyDescent="0.2">
      <c r="A230">
        <v>47307</v>
      </c>
      <c r="B230">
        <v>0</v>
      </c>
      <c r="C230">
        <f t="shared" si="29"/>
        <v>0</v>
      </c>
      <c r="D230">
        <f t="shared" si="30"/>
        <v>1</v>
      </c>
      <c r="E230">
        <v>4</v>
      </c>
      <c r="F230">
        <f t="shared" si="31"/>
        <v>0</v>
      </c>
      <c r="G230">
        <f t="shared" si="32"/>
        <v>0</v>
      </c>
      <c r="H230">
        <f t="shared" si="33"/>
        <v>0</v>
      </c>
      <c r="I230">
        <f t="shared" si="34"/>
        <v>1</v>
      </c>
      <c r="J230">
        <v>0</v>
      </c>
      <c r="K230">
        <v>3.3</v>
      </c>
      <c r="L230">
        <v>2.2000000000000002</v>
      </c>
      <c r="M230">
        <v>2</v>
      </c>
      <c r="N230">
        <v>5</v>
      </c>
      <c r="O230" s="1">
        <f>((INT(N230)-INT(L230))*3)-(((L230-INT(L230))*10) - ((N230-INT(N230))*10))</f>
        <v>6.9999999999999982</v>
      </c>
      <c r="P230">
        <f t="shared" si="35"/>
        <v>0</v>
      </c>
      <c r="Q230">
        <f t="shared" si="36"/>
        <v>0</v>
      </c>
      <c r="R230">
        <f t="shared" si="37"/>
        <v>1</v>
      </c>
    </row>
    <row r="231" spans="1:18" x14ac:dyDescent="0.2">
      <c r="A231">
        <v>47522</v>
      </c>
      <c r="B231">
        <v>0</v>
      </c>
      <c r="C231">
        <f t="shared" si="29"/>
        <v>0</v>
      </c>
      <c r="D231">
        <f t="shared" si="30"/>
        <v>1</v>
      </c>
      <c r="E231">
        <v>4</v>
      </c>
      <c r="F231">
        <f t="shared" si="31"/>
        <v>0</v>
      </c>
      <c r="G231">
        <f t="shared" si="32"/>
        <v>0</v>
      </c>
      <c r="H231">
        <f t="shared" si="33"/>
        <v>0</v>
      </c>
      <c r="I231">
        <f t="shared" si="34"/>
        <v>1</v>
      </c>
      <c r="J231">
        <v>0</v>
      </c>
      <c r="K231">
        <v>3</v>
      </c>
      <c r="L231">
        <v>1</v>
      </c>
      <c r="M231">
        <v>3</v>
      </c>
      <c r="N231">
        <v>2.2000000000000002</v>
      </c>
      <c r="O231" s="1">
        <f>((INT(N231)-INT(L231))*3)-(((L231-INT(L231))*10) - ((N231-INT(N231))*10))</f>
        <v>5.0000000000000018</v>
      </c>
      <c r="P231">
        <f t="shared" si="35"/>
        <v>0</v>
      </c>
      <c r="Q231">
        <f t="shared" si="36"/>
        <v>1</v>
      </c>
      <c r="R231">
        <f t="shared" si="37"/>
        <v>0</v>
      </c>
    </row>
    <row r="232" spans="1:18" x14ac:dyDescent="0.2">
      <c r="A232">
        <v>47831</v>
      </c>
      <c r="B232">
        <v>0</v>
      </c>
      <c r="C232">
        <f t="shared" si="29"/>
        <v>0</v>
      </c>
      <c r="D232">
        <f t="shared" si="30"/>
        <v>1</v>
      </c>
      <c r="E232">
        <v>4</v>
      </c>
      <c r="F232">
        <f t="shared" si="31"/>
        <v>0</v>
      </c>
      <c r="G232">
        <f t="shared" si="32"/>
        <v>0</v>
      </c>
      <c r="H232">
        <f t="shared" si="33"/>
        <v>0</v>
      </c>
      <c r="I232">
        <f t="shared" si="34"/>
        <v>1</v>
      </c>
      <c r="J232">
        <v>0</v>
      </c>
      <c r="K232">
        <v>4</v>
      </c>
      <c r="L232">
        <v>1</v>
      </c>
      <c r="M232">
        <v>3</v>
      </c>
      <c r="N232">
        <v>2</v>
      </c>
      <c r="O232" s="1">
        <f>((INT(N232)-INT(L232))*3)-(((L232-INT(L232))*10) - ((N232-INT(N232))*10))</f>
        <v>3</v>
      </c>
      <c r="P232">
        <f t="shared" si="35"/>
        <v>1</v>
      </c>
      <c r="Q232">
        <f t="shared" si="36"/>
        <v>0</v>
      </c>
      <c r="R232">
        <f t="shared" si="37"/>
        <v>0</v>
      </c>
    </row>
    <row r="233" spans="1:18" x14ac:dyDescent="0.2">
      <c r="A233">
        <v>47900</v>
      </c>
      <c r="B233">
        <v>0</v>
      </c>
      <c r="C233">
        <f t="shared" si="29"/>
        <v>0</v>
      </c>
      <c r="D233">
        <f t="shared" si="30"/>
        <v>1</v>
      </c>
      <c r="E233">
        <v>2</v>
      </c>
      <c r="F233">
        <f t="shared" si="31"/>
        <v>0</v>
      </c>
      <c r="G233">
        <f t="shared" si="32"/>
        <v>1</v>
      </c>
      <c r="H233">
        <f t="shared" si="33"/>
        <v>0</v>
      </c>
      <c r="I233">
        <f t="shared" si="34"/>
        <v>0</v>
      </c>
      <c r="J233">
        <v>0</v>
      </c>
      <c r="K233">
        <v>2</v>
      </c>
      <c r="L233">
        <v>1.2</v>
      </c>
      <c r="M233">
        <v>2</v>
      </c>
      <c r="N233">
        <v>4</v>
      </c>
      <c r="O233" s="1">
        <f>((INT(N233)-INT(L233))*3)-(((L233-INT(L233))*10) - ((N233-INT(N233))*10))</f>
        <v>7</v>
      </c>
      <c r="P233">
        <f t="shared" si="35"/>
        <v>0</v>
      </c>
      <c r="Q233">
        <f t="shared" si="36"/>
        <v>0</v>
      </c>
      <c r="R233">
        <f t="shared" si="37"/>
        <v>1</v>
      </c>
    </row>
    <row r="234" spans="1:18" x14ac:dyDescent="0.2">
      <c r="A234">
        <v>48044</v>
      </c>
      <c r="B234">
        <v>0</v>
      </c>
      <c r="C234">
        <f t="shared" si="29"/>
        <v>0</v>
      </c>
      <c r="D234">
        <f t="shared" si="30"/>
        <v>1</v>
      </c>
      <c r="E234">
        <v>1</v>
      </c>
      <c r="F234">
        <f t="shared" si="31"/>
        <v>1</v>
      </c>
      <c r="G234">
        <f t="shared" si="32"/>
        <v>0</v>
      </c>
      <c r="H234">
        <f t="shared" si="33"/>
        <v>0</v>
      </c>
      <c r="I234">
        <f t="shared" si="34"/>
        <v>0</v>
      </c>
      <c r="J234">
        <v>0</v>
      </c>
      <c r="K234">
        <v>4.3</v>
      </c>
      <c r="L234">
        <v>9</v>
      </c>
      <c r="M234">
        <v>4.3</v>
      </c>
      <c r="N234">
        <v>10.199999999999999</v>
      </c>
      <c r="O234" s="1">
        <f>((INT(N234)-INT(L234))*3)-(((L234-INT(L234))*10) - ((N234-INT(N234))*10))</f>
        <v>4.9999999999999929</v>
      </c>
      <c r="P234">
        <f t="shared" si="35"/>
        <v>0</v>
      </c>
      <c r="Q234">
        <f t="shared" si="36"/>
        <v>1</v>
      </c>
      <c r="R234">
        <f t="shared" si="37"/>
        <v>0</v>
      </c>
    </row>
    <row r="235" spans="1:18" x14ac:dyDescent="0.2">
      <c r="A235">
        <v>48183</v>
      </c>
      <c r="B235">
        <v>1</v>
      </c>
      <c r="C235">
        <f t="shared" si="29"/>
        <v>1</v>
      </c>
      <c r="D235">
        <f t="shared" si="30"/>
        <v>0</v>
      </c>
      <c r="E235">
        <v>3</v>
      </c>
      <c r="F235">
        <f t="shared" si="31"/>
        <v>0</v>
      </c>
      <c r="G235">
        <f t="shared" si="32"/>
        <v>0</v>
      </c>
      <c r="H235">
        <f t="shared" si="33"/>
        <v>1</v>
      </c>
      <c r="I235">
        <f t="shared" si="34"/>
        <v>0</v>
      </c>
      <c r="J235">
        <v>1</v>
      </c>
      <c r="K235">
        <v>4.3</v>
      </c>
      <c r="L235">
        <v>9.1999999999999993</v>
      </c>
      <c r="M235">
        <v>4.3</v>
      </c>
      <c r="N235">
        <v>10.199999999999999</v>
      </c>
      <c r="O235" s="1">
        <f>((INT(N235)-INT(L235))*3)-(((L235-INT(L235))*10) - ((N235-INT(N235))*10))</f>
        <v>3</v>
      </c>
      <c r="P235">
        <f t="shared" si="35"/>
        <v>1</v>
      </c>
      <c r="Q235">
        <f t="shared" si="36"/>
        <v>0</v>
      </c>
      <c r="R235">
        <f t="shared" si="37"/>
        <v>0</v>
      </c>
    </row>
    <row r="236" spans="1:18" x14ac:dyDescent="0.2">
      <c r="A236">
        <v>48253</v>
      </c>
      <c r="B236">
        <v>0</v>
      </c>
      <c r="C236">
        <f t="shared" si="29"/>
        <v>0</v>
      </c>
      <c r="D236">
        <f t="shared" si="30"/>
        <v>1</v>
      </c>
      <c r="E236">
        <v>2</v>
      </c>
      <c r="F236">
        <f t="shared" si="31"/>
        <v>0</v>
      </c>
      <c r="G236">
        <f t="shared" si="32"/>
        <v>1</v>
      </c>
      <c r="H236">
        <f t="shared" si="33"/>
        <v>0</v>
      </c>
      <c r="I236">
        <f t="shared" si="34"/>
        <v>0</v>
      </c>
      <c r="J236">
        <v>0</v>
      </c>
      <c r="K236">
        <v>3</v>
      </c>
      <c r="L236">
        <v>4.2</v>
      </c>
      <c r="M236">
        <v>4</v>
      </c>
      <c r="N236">
        <v>6.2</v>
      </c>
      <c r="O236" s="1">
        <f>((INT(N236)-INT(L236))*3)-(((L236-INT(L236))*10) - ((N236-INT(N236))*10))</f>
        <v>6</v>
      </c>
      <c r="P236">
        <f t="shared" si="35"/>
        <v>0</v>
      </c>
      <c r="Q236">
        <f t="shared" si="36"/>
        <v>0</v>
      </c>
      <c r="R236">
        <f t="shared" si="37"/>
        <v>1</v>
      </c>
    </row>
    <row r="237" spans="1:18" x14ac:dyDescent="0.2">
      <c r="A237">
        <v>48297</v>
      </c>
      <c r="B237">
        <v>0</v>
      </c>
      <c r="C237">
        <f t="shared" si="29"/>
        <v>0</v>
      </c>
      <c r="D237">
        <f t="shared" si="30"/>
        <v>1</v>
      </c>
      <c r="E237">
        <v>4</v>
      </c>
      <c r="F237">
        <f t="shared" si="31"/>
        <v>0</v>
      </c>
      <c r="G237">
        <f t="shared" si="32"/>
        <v>0</v>
      </c>
      <c r="H237">
        <f t="shared" si="33"/>
        <v>0</v>
      </c>
      <c r="I237">
        <f t="shared" si="34"/>
        <v>1</v>
      </c>
      <c r="J237">
        <v>0</v>
      </c>
      <c r="K237">
        <v>2.2999999999999998</v>
      </c>
      <c r="L237">
        <v>1.2</v>
      </c>
      <c r="M237">
        <v>4</v>
      </c>
      <c r="N237">
        <v>3</v>
      </c>
      <c r="O237" s="1">
        <f>((INT(N237)-INT(L237))*3)-(((L237-INT(L237))*10) - ((N237-INT(N237))*10))</f>
        <v>4</v>
      </c>
      <c r="P237">
        <f t="shared" si="35"/>
        <v>0</v>
      </c>
      <c r="Q237">
        <f t="shared" si="36"/>
        <v>1</v>
      </c>
      <c r="R237">
        <f t="shared" si="37"/>
        <v>0</v>
      </c>
    </row>
    <row r="238" spans="1:18" x14ac:dyDescent="0.2">
      <c r="A238">
        <v>48527</v>
      </c>
      <c r="B238">
        <v>0</v>
      </c>
      <c r="C238">
        <f t="shared" si="29"/>
        <v>0</v>
      </c>
      <c r="D238">
        <f t="shared" si="30"/>
        <v>1</v>
      </c>
      <c r="E238">
        <v>2</v>
      </c>
      <c r="F238">
        <f t="shared" si="31"/>
        <v>0</v>
      </c>
      <c r="G238">
        <f t="shared" si="32"/>
        <v>1</v>
      </c>
      <c r="H238">
        <f t="shared" si="33"/>
        <v>0</v>
      </c>
      <c r="I238">
        <f t="shared" si="34"/>
        <v>0</v>
      </c>
      <c r="J238">
        <v>0</v>
      </c>
      <c r="K238">
        <v>2</v>
      </c>
      <c r="L238">
        <v>8.1999999999999993</v>
      </c>
      <c r="M238">
        <v>3</v>
      </c>
      <c r="N238">
        <v>10</v>
      </c>
      <c r="O238" s="1">
        <f>((INT(N238)-INT(L238))*3)-(((L238-INT(L238))*10) - ((N238-INT(N238))*10))</f>
        <v>4.0000000000000071</v>
      </c>
      <c r="P238">
        <f t="shared" si="35"/>
        <v>0</v>
      </c>
      <c r="Q238">
        <f t="shared" si="36"/>
        <v>1</v>
      </c>
      <c r="R238">
        <f t="shared" si="37"/>
        <v>0</v>
      </c>
    </row>
    <row r="239" spans="1:18" x14ac:dyDescent="0.2">
      <c r="A239">
        <v>48559</v>
      </c>
      <c r="B239">
        <v>0</v>
      </c>
      <c r="C239">
        <f t="shared" si="29"/>
        <v>0</v>
      </c>
      <c r="D239">
        <f t="shared" si="30"/>
        <v>1</v>
      </c>
      <c r="E239">
        <v>1</v>
      </c>
      <c r="F239">
        <f t="shared" si="31"/>
        <v>1</v>
      </c>
      <c r="G239">
        <f t="shared" si="32"/>
        <v>0</v>
      </c>
      <c r="H239">
        <f t="shared" si="33"/>
        <v>0</v>
      </c>
      <c r="I239">
        <f t="shared" si="34"/>
        <v>0</v>
      </c>
      <c r="J239">
        <v>0</v>
      </c>
      <c r="K239">
        <v>3.7</v>
      </c>
      <c r="L239">
        <v>11.1</v>
      </c>
      <c r="M239">
        <v>3</v>
      </c>
      <c r="N239">
        <v>12.2</v>
      </c>
      <c r="O239" s="1">
        <f>((INT(N239)-INT(L239))*3)-(((L239-INT(L239))*10) - ((N239-INT(N239))*10))</f>
        <v>3.9999999999999964</v>
      </c>
      <c r="P239">
        <f t="shared" si="35"/>
        <v>0</v>
      </c>
      <c r="Q239">
        <f t="shared" si="36"/>
        <v>1</v>
      </c>
      <c r="R239">
        <f t="shared" si="37"/>
        <v>0</v>
      </c>
    </row>
    <row r="240" spans="1:18" x14ac:dyDescent="0.2">
      <c r="A240">
        <v>48563</v>
      </c>
      <c r="B240">
        <v>0</v>
      </c>
      <c r="C240">
        <f t="shared" si="29"/>
        <v>0</v>
      </c>
      <c r="D240">
        <f t="shared" si="30"/>
        <v>1</v>
      </c>
      <c r="E240">
        <v>4</v>
      </c>
      <c r="F240">
        <f t="shared" si="31"/>
        <v>0</v>
      </c>
      <c r="G240">
        <f t="shared" si="32"/>
        <v>0</v>
      </c>
      <c r="H240">
        <f t="shared" si="33"/>
        <v>0</v>
      </c>
      <c r="I240">
        <f t="shared" si="34"/>
        <v>1</v>
      </c>
      <c r="J240">
        <v>0</v>
      </c>
      <c r="K240">
        <v>3.3</v>
      </c>
      <c r="L240">
        <v>7.1</v>
      </c>
      <c r="M240">
        <v>2.2999999999999998</v>
      </c>
      <c r="N240">
        <v>9.1999999999999993</v>
      </c>
      <c r="O240" s="1">
        <f>((INT(N240)-INT(L240))*3)-(((L240-INT(L240))*10) - ((N240-INT(N240))*10))</f>
        <v>6.9999999999999964</v>
      </c>
      <c r="P240">
        <f t="shared" si="35"/>
        <v>0</v>
      </c>
      <c r="Q240">
        <f t="shared" si="36"/>
        <v>0</v>
      </c>
      <c r="R240">
        <f t="shared" si="37"/>
        <v>1</v>
      </c>
    </row>
    <row r="241" spans="1:18" x14ac:dyDescent="0.2">
      <c r="A241">
        <v>48699</v>
      </c>
      <c r="B241">
        <v>0</v>
      </c>
      <c r="C241">
        <f t="shared" si="29"/>
        <v>0</v>
      </c>
      <c r="D241">
        <f t="shared" si="30"/>
        <v>1</v>
      </c>
      <c r="E241">
        <v>1</v>
      </c>
      <c r="F241">
        <f t="shared" si="31"/>
        <v>1</v>
      </c>
      <c r="G241">
        <f t="shared" si="32"/>
        <v>0</v>
      </c>
      <c r="H241">
        <f t="shared" si="33"/>
        <v>0</v>
      </c>
      <c r="I241">
        <f t="shared" si="34"/>
        <v>0</v>
      </c>
      <c r="J241">
        <v>0</v>
      </c>
      <c r="K241">
        <v>3</v>
      </c>
      <c r="L241">
        <v>9</v>
      </c>
      <c r="M241">
        <v>3.3</v>
      </c>
      <c r="N241">
        <v>10.199999999999999</v>
      </c>
      <c r="O241" s="1">
        <f>((INT(N241)-INT(L241))*3)-(((L241-INT(L241))*10) - ((N241-INT(N241))*10))</f>
        <v>4.9999999999999929</v>
      </c>
      <c r="P241">
        <f t="shared" si="35"/>
        <v>0</v>
      </c>
      <c r="Q241">
        <f t="shared" si="36"/>
        <v>1</v>
      </c>
      <c r="R241">
        <f t="shared" si="37"/>
        <v>0</v>
      </c>
    </row>
    <row r="242" spans="1:18" x14ac:dyDescent="0.2">
      <c r="A242">
        <v>48742</v>
      </c>
      <c r="B242">
        <v>0</v>
      </c>
      <c r="C242">
        <f t="shared" si="29"/>
        <v>0</v>
      </c>
      <c r="D242">
        <f t="shared" si="30"/>
        <v>1</v>
      </c>
      <c r="E242">
        <v>1</v>
      </c>
      <c r="F242">
        <f t="shared" si="31"/>
        <v>1</v>
      </c>
      <c r="G242">
        <f t="shared" si="32"/>
        <v>0</v>
      </c>
      <c r="H242">
        <f t="shared" si="33"/>
        <v>0</v>
      </c>
      <c r="I242">
        <f t="shared" si="34"/>
        <v>0</v>
      </c>
      <c r="J242">
        <v>0</v>
      </c>
      <c r="K242">
        <v>4</v>
      </c>
      <c r="L242">
        <v>1</v>
      </c>
      <c r="M242">
        <v>4</v>
      </c>
      <c r="N242">
        <v>3.1</v>
      </c>
      <c r="O242" s="1">
        <f>((INT(N242)-INT(L242))*3)-(((L242-INT(L242))*10) - ((N242-INT(N242))*10))</f>
        <v>7.0000000000000009</v>
      </c>
      <c r="P242">
        <f t="shared" si="35"/>
        <v>0</v>
      </c>
      <c r="Q242">
        <f t="shared" si="36"/>
        <v>0</v>
      </c>
      <c r="R242">
        <f t="shared" si="37"/>
        <v>1</v>
      </c>
    </row>
    <row r="243" spans="1:18" x14ac:dyDescent="0.2">
      <c r="A243">
        <v>49032</v>
      </c>
      <c r="B243">
        <v>0</v>
      </c>
      <c r="C243">
        <f t="shared" si="29"/>
        <v>0</v>
      </c>
      <c r="D243">
        <f t="shared" si="30"/>
        <v>1</v>
      </c>
      <c r="E243">
        <v>1</v>
      </c>
      <c r="F243">
        <f t="shared" si="31"/>
        <v>1</v>
      </c>
      <c r="G243">
        <f t="shared" si="32"/>
        <v>0</v>
      </c>
      <c r="H243">
        <f t="shared" si="33"/>
        <v>0</v>
      </c>
      <c r="I243">
        <f t="shared" si="34"/>
        <v>0</v>
      </c>
      <c r="J243">
        <v>0</v>
      </c>
      <c r="K243">
        <v>2</v>
      </c>
      <c r="L243">
        <v>10.1</v>
      </c>
      <c r="M243">
        <v>3</v>
      </c>
      <c r="N243">
        <v>12</v>
      </c>
      <c r="O243" s="1">
        <f>((INT(N243)-INT(L243))*3)-(((L243-INT(L243))*10) - ((N243-INT(N243))*10))</f>
        <v>5.0000000000000036</v>
      </c>
      <c r="P243">
        <f t="shared" si="35"/>
        <v>0</v>
      </c>
      <c r="Q243">
        <f t="shared" si="36"/>
        <v>1</v>
      </c>
      <c r="R243">
        <f t="shared" si="37"/>
        <v>0</v>
      </c>
    </row>
    <row r="244" spans="1:18" x14ac:dyDescent="0.2">
      <c r="A244">
        <v>49042</v>
      </c>
      <c r="B244">
        <v>0</v>
      </c>
      <c r="C244">
        <f t="shared" si="29"/>
        <v>0</v>
      </c>
      <c r="D244">
        <f t="shared" si="30"/>
        <v>1</v>
      </c>
      <c r="E244">
        <v>1</v>
      </c>
      <c r="F244">
        <f t="shared" si="31"/>
        <v>1</v>
      </c>
      <c r="G244">
        <f t="shared" si="32"/>
        <v>0</v>
      </c>
      <c r="H244">
        <f t="shared" si="33"/>
        <v>0</v>
      </c>
      <c r="I244">
        <f t="shared" si="34"/>
        <v>0</v>
      </c>
      <c r="J244">
        <v>0</v>
      </c>
      <c r="K244">
        <v>3.7</v>
      </c>
      <c r="L244">
        <v>9</v>
      </c>
      <c r="M244">
        <v>3</v>
      </c>
      <c r="N244">
        <v>10.199999999999999</v>
      </c>
      <c r="O244" s="1">
        <f>((INT(N244)-INT(L244))*3)-(((L244-INT(L244))*10) - ((N244-INT(N244))*10))</f>
        <v>4.9999999999999929</v>
      </c>
      <c r="P244">
        <f t="shared" si="35"/>
        <v>0</v>
      </c>
      <c r="Q244">
        <f t="shared" si="36"/>
        <v>1</v>
      </c>
      <c r="R244">
        <f t="shared" si="37"/>
        <v>0</v>
      </c>
    </row>
    <row r="245" spans="1:18" x14ac:dyDescent="0.2">
      <c r="A245">
        <v>49045</v>
      </c>
      <c r="B245">
        <v>0</v>
      </c>
      <c r="C245">
        <f t="shared" si="29"/>
        <v>0</v>
      </c>
      <c r="D245">
        <f t="shared" si="30"/>
        <v>1</v>
      </c>
      <c r="E245">
        <v>4</v>
      </c>
      <c r="F245">
        <f t="shared" si="31"/>
        <v>0</v>
      </c>
      <c r="G245">
        <f t="shared" si="32"/>
        <v>0</v>
      </c>
      <c r="H245">
        <f t="shared" si="33"/>
        <v>0</v>
      </c>
      <c r="I245">
        <f t="shared" si="34"/>
        <v>1</v>
      </c>
      <c r="J245">
        <v>0</v>
      </c>
      <c r="K245">
        <v>2.2999999999999998</v>
      </c>
      <c r="L245">
        <v>6.2</v>
      </c>
      <c r="M245">
        <v>2</v>
      </c>
      <c r="N245">
        <v>7.2</v>
      </c>
      <c r="O245" s="1">
        <f>((INT(N245)-INT(L245))*3)-(((L245-INT(L245))*10) - ((N245-INT(N245))*10))</f>
        <v>3</v>
      </c>
      <c r="P245">
        <f t="shared" si="35"/>
        <v>1</v>
      </c>
      <c r="Q245">
        <f t="shared" si="36"/>
        <v>0</v>
      </c>
      <c r="R245">
        <f t="shared" si="37"/>
        <v>0</v>
      </c>
    </row>
    <row r="246" spans="1:18" x14ac:dyDescent="0.2">
      <c r="A246">
        <v>49134</v>
      </c>
      <c r="B246">
        <v>0</v>
      </c>
      <c r="C246">
        <f t="shared" si="29"/>
        <v>0</v>
      </c>
      <c r="D246">
        <f t="shared" si="30"/>
        <v>1</v>
      </c>
      <c r="E246">
        <v>1</v>
      </c>
      <c r="F246">
        <f t="shared" si="31"/>
        <v>1</v>
      </c>
      <c r="G246">
        <f t="shared" si="32"/>
        <v>0</v>
      </c>
      <c r="H246">
        <f t="shared" si="33"/>
        <v>0</v>
      </c>
      <c r="I246">
        <f t="shared" si="34"/>
        <v>0</v>
      </c>
      <c r="J246">
        <v>1</v>
      </c>
      <c r="K246">
        <v>4.3</v>
      </c>
      <c r="L246">
        <v>11</v>
      </c>
      <c r="M246">
        <v>4</v>
      </c>
      <c r="N246">
        <v>11.2</v>
      </c>
      <c r="O246" s="1">
        <f>((INT(N246)-INT(L246))*3)-(((L246-INT(L246))*10) - ((N246-INT(N246))*10))</f>
        <v>1.9999999999999929</v>
      </c>
      <c r="P246">
        <f t="shared" si="35"/>
        <v>1</v>
      </c>
      <c r="Q246">
        <f t="shared" si="36"/>
        <v>0</v>
      </c>
      <c r="R246">
        <f t="shared" si="37"/>
        <v>0</v>
      </c>
    </row>
    <row r="247" spans="1:18" x14ac:dyDescent="0.2">
      <c r="A247">
        <v>49245</v>
      </c>
      <c r="B247">
        <v>0</v>
      </c>
      <c r="C247">
        <f t="shared" si="29"/>
        <v>0</v>
      </c>
      <c r="D247">
        <f t="shared" si="30"/>
        <v>1</v>
      </c>
      <c r="E247">
        <v>2</v>
      </c>
      <c r="F247">
        <f t="shared" si="31"/>
        <v>0</v>
      </c>
      <c r="G247">
        <f t="shared" si="32"/>
        <v>1</v>
      </c>
      <c r="H247">
        <f t="shared" si="33"/>
        <v>0</v>
      </c>
      <c r="I247">
        <f t="shared" si="34"/>
        <v>0</v>
      </c>
      <c r="J247">
        <v>0</v>
      </c>
      <c r="K247">
        <v>2.7</v>
      </c>
      <c r="L247">
        <v>10.199999999999999</v>
      </c>
      <c r="M247">
        <v>3</v>
      </c>
      <c r="N247">
        <v>12.2</v>
      </c>
      <c r="O247" s="1">
        <f>((INT(N247)-INT(L247))*3)-(((L247-INT(L247))*10) - ((N247-INT(N247))*10))</f>
        <v>6</v>
      </c>
      <c r="P247">
        <f t="shared" si="35"/>
        <v>0</v>
      </c>
      <c r="Q247">
        <f t="shared" si="36"/>
        <v>0</v>
      </c>
      <c r="R247">
        <f t="shared" si="37"/>
        <v>1</v>
      </c>
    </row>
    <row r="248" spans="1:18" x14ac:dyDescent="0.2">
      <c r="A248">
        <v>49727</v>
      </c>
      <c r="B248">
        <v>1</v>
      </c>
      <c r="C248">
        <f t="shared" si="29"/>
        <v>1</v>
      </c>
      <c r="D248">
        <f t="shared" si="30"/>
        <v>0</v>
      </c>
      <c r="E248">
        <v>2</v>
      </c>
      <c r="F248">
        <f t="shared" si="31"/>
        <v>0</v>
      </c>
      <c r="G248">
        <f t="shared" si="32"/>
        <v>1</v>
      </c>
      <c r="H248">
        <f t="shared" si="33"/>
        <v>0</v>
      </c>
      <c r="I248">
        <f t="shared" si="34"/>
        <v>0</v>
      </c>
      <c r="J248">
        <v>0</v>
      </c>
      <c r="K248">
        <v>4.3</v>
      </c>
      <c r="L248">
        <v>9.1999999999999993</v>
      </c>
      <c r="M248">
        <v>4.3</v>
      </c>
      <c r="N248">
        <v>10.199999999999999</v>
      </c>
      <c r="O248" s="1">
        <f>((INT(N248)-INT(L248))*3)-(((L248-INT(L248))*10) - ((N248-INT(N248))*10))</f>
        <v>3</v>
      </c>
      <c r="P248">
        <f t="shared" si="35"/>
        <v>1</v>
      </c>
      <c r="Q248">
        <f t="shared" si="36"/>
        <v>0</v>
      </c>
      <c r="R248">
        <f t="shared" si="37"/>
        <v>0</v>
      </c>
    </row>
    <row r="249" spans="1:18" x14ac:dyDescent="0.2">
      <c r="A249">
        <v>49996</v>
      </c>
      <c r="B249">
        <v>1</v>
      </c>
      <c r="C249">
        <f t="shared" si="29"/>
        <v>1</v>
      </c>
      <c r="D249">
        <f t="shared" si="30"/>
        <v>0</v>
      </c>
      <c r="E249">
        <v>4</v>
      </c>
      <c r="F249">
        <f t="shared" si="31"/>
        <v>0</v>
      </c>
      <c r="G249">
        <f t="shared" si="32"/>
        <v>0</v>
      </c>
      <c r="H249">
        <f t="shared" si="33"/>
        <v>0</v>
      </c>
      <c r="I249">
        <f t="shared" si="34"/>
        <v>1</v>
      </c>
      <c r="J249">
        <v>0</v>
      </c>
      <c r="K249">
        <v>2.7</v>
      </c>
      <c r="L249">
        <v>10.1</v>
      </c>
      <c r="M249">
        <v>2</v>
      </c>
      <c r="N249">
        <v>12</v>
      </c>
      <c r="O249" s="1">
        <f>((INT(N249)-INT(L249))*3)-(((L249-INT(L249))*10) - ((N249-INT(N249))*10))</f>
        <v>5.0000000000000036</v>
      </c>
      <c r="P249">
        <f t="shared" si="35"/>
        <v>0</v>
      </c>
      <c r="Q249">
        <f t="shared" si="36"/>
        <v>1</v>
      </c>
      <c r="R249">
        <f t="shared" si="37"/>
        <v>0</v>
      </c>
    </row>
    <row r="250" spans="1:18" x14ac:dyDescent="0.2">
      <c r="A250">
        <v>50041</v>
      </c>
      <c r="B250">
        <v>0</v>
      </c>
      <c r="C250">
        <f t="shared" si="29"/>
        <v>0</v>
      </c>
      <c r="D250">
        <f t="shared" si="30"/>
        <v>1</v>
      </c>
      <c r="E250">
        <v>1</v>
      </c>
      <c r="F250">
        <f t="shared" si="31"/>
        <v>1</v>
      </c>
      <c r="G250">
        <f t="shared" si="32"/>
        <v>0</v>
      </c>
      <c r="H250">
        <f t="shared" si="33"/>
        <v>0</v>
      </c>
      <c r="I250">
        <f t="shared" si="34"/>
        <v>0</v>
      </c>
      <c r="J250">
        <v>0</v>
      </c>
      <c r="K250">
        <v>3</v>
      </c>
      <c r="L250">
        <v>8.1999999999999993</v>
      </c>
      <c r="M250">
        <v>3.3</v>
      </c>
      <c r="N250">
        <v>10.199999999999999</v>
      </c>
      <c r="O250" s="1">
        <f>((INT(N250)-INT(L250))*3)-(((L250-INT(L250))*10) - ((N250-INT(N250))*10))</f>
        <v>6</v>
      </c>
      <c r="P250">
        <f t="shared" si="35"/>
        <v>0</v>
      </c>
      <c r="Q250">
        <f t="shared" si="36"/>
        <v>0</v>
      </c>
      <c r="R250">
        <f t="shared" si="37"/>
        <v>1</v>
      </c>
    </row>
    <row r="251" spans="1:18" x14ac:dyDescent="0.2">
      <c r="A251">
        <v>50047</v>
      </c>
      <c r="B251">
        <v>0</v>
      </c>
      <c r="C251">
        <f t="shared" si="29"/>
        <v>0</v>
      </c>
      <c r="D251">
        <f t="shared" si="30"/>
        <v>1</v>
      </c>
      <c r="E251">
        <v>3</v>
      </c>
      <c r="F251">
        <f t="shared" si="31"/>
        <v>0</v>
      </c>
      <c r="G251">
        <f t="shared" si="32"/>
        <v>0</v>
      </c>
      <c r="H251">
        <f t="shared" si="33"/>
        <v>1</v>
      </c>
      <c r="I251">
        <f t="shared" si="34"/>
        <v>0</v>
      </c>
      <c r="J251">
        <v>1</v>
      </c>
      <c r="K251">
        <v>3</v>
      </c>
      <c r="L251">
        <v>6</v>
      </c>
      <c r="M251">
        <v>2.2999999999999998</v>
      </c>
      <c r="N251">
        <v>8.1999999999999993</v>
      </c>
      <c r="O251" s="1">
        <f>((INT(N251)-INT(L251))*3)-(((L251-INT(L251))*10) - ((N251-INT(N251))*10))</f>
        <v>7.9999999999999929</v>
      </c>
      <c r="P251">
        <f t="shared" si="35"/>
        <v>0</v>
      </c>
      <c r="Q251">
        <f t="shared" si="36"/>
        <v>0</v>
      </c>
      <c r="R251">
        <f t="shared" si="37"/>
        <v>1</v>
      </c>
    </row>
    <row r="252" spans="1:18" x14ac:dyDescent="0.2">
      <c r="A252">
        <v>50131</v>
      </c>
      <c r="B252">
        <v>0</v>
      </c>
      <c r="C252">
        <f t="shared" si="29"/>
        <v>0</v>
      </c>
      <c r="D252">
        <f t="shared" si="30"/>
        <v>1</v>
      </c>
      <c r="E252">
        <v>2</v>
      </c>
      <c r="F252">
        <f t="shared" si="31"/>
        <v>0</v>
      </c>
      <c r="G252">
        <f t="shared" si="32"/>
        <v>1</v>
      </c>
      <c r="H252">
        <f t="shared" si="33"/>
        <v>0</v>
      </c>
      <c r="I252">
        <f t="shared" si="34"/>
        <v>0</v>
      </c>
      <c r="J252">
        <v>0</v>
      </c>
      <c r="K252">
        <v>4.3</v>
      </c>
      <c r="L252">
        <v>9</v>
      </c>
      <c r="M252">
        <v>4</v>
      </c>
      <c r="N252">
        <v>11</v>
      </c>
      <c r="O252" s="1">
        <f>((INT(N252)-INT(L252))*3)-(((L252-INT(L252))*10) - ((N252-INT(N252))*10))</f>
        <v>6</v>
      </c>
      <c r="P252">
        <f t="shared" si="35"/>
        <v>0</v>
      </c>
      <c r="Q252">
        <f t="shared" si="36"/>
        <v>0</v>
      </c>
      <c r="R252">
        <f t="shared" si="37"/>
        <v>1</v>
      </c>
    </row>
    <row r="253" spans="1:18" x14ac:dyDescent="0.2">
      <c r="A253">
        <v>50254</v>
      </c>
      <c r="B253">
        <v>0</v>
      </c>
      <c r="C253">
        <f t="shared" si="29"/>
        <v>0</v>
      </c>
      <c r="D253">
        <f t="shared" si="30"/>
        <v>1</v>
      </c>
      <c r="E253">
        <v>4</v>
      </c>
      <c r="F253">
        <f t="shared" si="31"/>
        <v>0</v>
      </c>
      <c r="G253">
        <f t="shared" si="32"/>
        <v>0</v>
      </c>
      <c r="H253">
        <f t="shared" si="33"/>
        <v>0</v>
      </c>
      <c r="I253">
        <f t="shared" si="34"/>
        <v>1</v>
      </c>
      <c r="J253">
        <v>0</v>
      </c>
      <c r="K253">
        <v>2</v>
      </c>
      <c r="L253">
        <v>7.2</v>
      </c>
      <c r="M253">
        <v>4.3</v>
      </c>
      <c r="N253">
        <v>9.1999999999999993</v>
      </c>
      <c r="O253" s="1">
        <f>((INT(N253)-INT(L253))*3)-(((L253-INT(L253))*10) - ((N253-INT(N253))*10))</f>
        <v>5.9999999999999911</v>
      </c>
      <c r="P253">
        <f t="shared" si="35"/>
        <v>0</v>
      </c>
      <c r="Q253">
        <v>0</v>
      </c>
      <c r="R253">
        <f t="shared" si="37"/>
        <v>1</v>
      </c>
    </row>
    <row r="254" spans="1:18" x14ac:dyDescent="0.2">
      <c r="A254">
        <v>50414</v>
      </c>
      <c r="B254">
        <v>0</v>
      </c>
      <c r="C254">
        <f t="shared" si="29"/>
        <v>0</v>
      </c>
      <c r="D254">
        <f t="shared" si="30"/>
        <v>1</v>
      </c>
      <c r="E254">
        <v>1</v>
      </c>
      <c r="F254">
        <f t="shared" si="31"/>
        <v>1</v>
      </c>
      <c r="G254">
        <f t="shared" si="32"/>
        <v>0</v>
      </c>
      <c r="H254">
        <f t="shared" si="33"/>
        <v>0</v>
      </c>
      <c r="I254">
        <f t="shared" si="34"/>
        <v>0</v>
      </c>
      <c r="J254">
        <v>1</v>
      </c>
      <c r="K254">
        <v>4</v>
      </c>
      <c r="L254">
        <v>8.1999999999999993</v>
      </c>
      <c r="M254">
        <v>2.7</v>
      </c>
      <c r="N254">
        <v>9.1999999999999993</v>
      </c>
      <c r="O254" s="1">
        <f>((INT(N254)-INT(L254))*3)-(((L254-INT(L254))*10) - ((N254-INT(N254))*10))</f>
        <v>3</v>
      </c>
      <c r="P254">
        <f t="shared" si="35"/>
        <v>1</v>
      </c>
      <c r="Q254">
        <f t="shared" si="36"/>
        <v>0</v>
      </c>
      <c r="R254">
        <f t="shared" si="37"/>
        <v>0</v>
      </c>
    </row>
    <row r="255" spans="1:18" x14ac:dyDescent="0.2">
      <c r="A255">
        <v>50630</v>
      </c>
      <c r="B255">
        <v>0</v>
      </c>
      <c r="C255">
        <f t="shared" si="29"/>
        <v>0</v>
      </c>
      <c r="D255">
        <f t="shared" si="30"/>
        <v>1</v>
      </c>
      <c r="E255">
        <v>1</v>
      </c>
      <c r="F255">
        <f t="shared" si="31"/>
        <v>1</v>
      </c>
      <c r="G255">
        <f t="shared" si="32"/>
        <v>0</v>
      </c>
      <c r="H255">
        <f t="shared" si="33"/>
        <v>0</v>
      </c>
      <c r="I255">
        <f t="shared" si="34"/>
        <v>0</v>
      </c>
      <c r="J255">
        <v>0</v>
      </c>
      <c r="K255">
        <v>4</v>
      </c>
      <c r="L255">
        <v>5.2</v>
      </c>
      <c r="M255">
        <v>4</v>
      </c>
      <c r="N255">
        <v>9</v>
      </c>
      <c r="O255" s="1">
        <f>((INT(N255)-INT(L255))*3)-(((L255-INT(L255))*10) - ((N255-INT(N255))*10))</f>
        <v>9.9999999999999982</v>
      </c>
      <c r="P255">
        <f t="shared" si="35"/>
        <v>0</v>
      </c>
      <c r="Q255">
        <f t="shared" si="36"/>
        <v>0</v>
      </c>
      <c r="R255">
        <f t="shared" si="37"/>
        <v>1</v>
      </c>
    </row>
    <row r="256" spans="1:18" x14ac:dyDescent="0.2">
      <c r="A256">
        <v>50751</v>
      </c>
      <c r="B256">
        <v>0</v>
      </c>
      <c r="C256">
        <f t="shared" si="29"/>
        <v>0</v>
      </c>
      <c r="D256">
        <f t="shared" si="30"/>
        <v>1</v>
      </c>
      <c r="E256">
        <v>4</v>
      </c>
      <c r="F256">
        <f t="shared" si="31"/>
        <v>0</v>
      </c>
      <c r="G256">
        <f t="shared" si="32"/>
        <v>0</v>
      </c>
      <c r="H256">
        <f t="shared" si="33"/>
        <v>0</v>
      </c>
      <c r="I256">
        <f t="shared" si="34"/>
        <v>1</v>
      </c>
      <c r="J256">
        <v>0</v>
      </c>
      <c r="K256">
        <v>2</v>
      </c>
      <c r="L256">
        <v>11.2</v>
      </c>
      <c r="M256">
        <v>3</v>
      </c>
      <c r="N256">
        <v>12.2</v>
      </c>
      <c r="O256" s="1">
        <f>((INT(N256)-INT(L256))*3)-(((L256-INT(L256))*10) - ((N256-INT(N256))*10))</f>
        <v>3</v>
      </c>
      <c r="P256">
        <f t="shared" si="35"/>
        <v>1</v>
      </c>
      <c r="Q256">
        <f t="shared" si="36"/>
        <v>0</v>
      </c>
      <c r="R256">
        <f t="shared" si="37"/>
        <v>0</v>
      </c>
    </row>
    <row r="257" spans="1:18" x14ac:dyDescent="0.2">
      <c r="A257">
        <v>50783</v>
      </c>
      <c r="B257">
        <v>1</v>
      </c>
      <c r="C257">
        <f t="shared" si="29"/>
        <v>1</v>
      </c>
      <c r="D257">
        <f t="shared" si="30"/>
        <v>0</v>
      </c>
      <c r="E257">
        <v>4</v>
      </c>
      <c r="F257">
        <f t="shared" si="31"/>
        <v>0</v>
      </c>
      <c r="G257">
        <f t="shared" si="32"/>
        <v>0</v>
      </c>
      <c r="H257">
        <f t="shared" si="33"/>
        <v>0</v>
      </c>
      <c r="I257">
        <f t="shared" si="34"/>
        <v>1</v>
      </c>
      <c r="J257">
        <v>0</v>
      </c>
      <c r="K257">
        <v>2</v>
      </c>
      <c r="L257">
        <v>8</v>
      </c>
      <c r="M257">
        <v>2</v>
      </c>
      <c r="N257">
        <v>8</v>
      </c>
      <c r="O257" s="1">
        <f>((INT(N257)-INT(L257))*3)-(((L257-INT(L257))*10) - ((N257-INT(N257))*10))</f>
        <v>0</v>
      </c>
      <c r="P257">
        <f t="shared" si="35"/>
        <v>1</v>
      </c>
      <c r="Q257">
        <f t="shared" si="36"/>
        <v>0</v>
      </c>
      <c r="R257">
        <f t="shared" si="37"/>
        <v>0</v>
      </c>
    </row>
    <row r="258" spans="1:18" x14ac:dyDescent="0.2">
      <c r="A258">
        <v>50811</v>
      </c>
      <c r="B258">
        <v>1</v>
      </c>
      <c r="C258">
        <f t="shared" si="29"/>
        <v>1</v>
      </c>
      <c r="D258">
        <f t="shared" si="30"/>
        <v>0</v>
      </c>
      <c r="E258">
        <v>1</v>
      </c>
      <c r="F258">
        <f t="shared" si="31"/>
        <v>1</v>
      </c>
      <c r="G258">
        <f t="shared" si="32"/>
        <v>0</v>
      </c>
      <c r="H258">
        <f t="shared" si="33"/>
        <v>0</v>
      </c>
      <c r="I258">
        <f t="shared" si="34"/>
        <v>0</v>
      </c>
      <c r="J258">
        <v>1</v>
      </c>
      <c r="K258">
        <v>3.7</v>
      </c>
      <c r="L258">
        <v>8</v>
      </c>
      <c r="M258">
        <v>4</v>
      </c>
      <c r="N258">
        <v>9</v>
      </c>
      <c r="O258" s="1">
        <f>((INT(N258)-INT(L258))*3)-(((L258-INT(L258))*10) - ((N258-INT(N258))*10))</f>
        <v>3</v>
      </c>
      <c r="P258">
        <f t="shared" si="35"/>
        <v>1</v>
      </c>
      <c r="Q258">
        <f t="shared" si="36"/>
        <v>0</v>
      </c>
      <c r="R258">
        <f t="shared" si="37"/>
        <v>0</v>
      </c>
    </row>
    <row r="259" spans="1:18" x14ac:dyDescent="0.2">
      <c r="A259">
        <v>50814</v>
      </c>
      <c r="B259">
        <v>1</v>
      </c>
      <c r="C259">
        <f t="shared" ref="C259:C322" si="38">IF(B259=1,1,0)</f>
        <v>1</v>
      </c>
      <c r="D259">
        <f t="shared" ref="D259:D322" si="39">IF(B259=0,1,0)</f>
        <v>0</v>
      </c>
      <c r="E259">
        <v>4</v>
      </c>
      <c r="F259">
        <f t="shared" ref="F259:F322" si="40">IF(E259=1,1,0)</f>
        <v>0</v>
      </c>
      <c r="G259">
        <f t="shared" ref="G259:G322" si="41">IF(E259=2,1,0)</f>
        <v>0</v>
      </c>
      <c r="H259">
        <f t="shared" ref="H259:H322" si="42">IF(E259=3,1,0)</f>
        <v>0</v>
      </c>
      <c r="I259">
        <f t="shared" ref="I259:I322" si="43">IF(E259=4,1,0)</f>
        <v>1</v>
      </c>
      <c r="J259">
        <v>0</v>
      </c>
      <c r="K259">
        <v>3.3</v>
      </c>
      <c r="L259">
        <v>2.2000000000000002</v>
      </c>
      <c r="M259">
        <v>2.2999999999999998</v>
      </c>
      <c r="N259">
        <v>4</v>
      </c>
      <c r="O259" s="1">
        <f>((INT(N259)-INT(L259))*3)-(((L259-INT(L259))*10) - ((N259-INT(N259))*10))</f>
        <v>3.9999999999999982</v>
      </c>
      <c r="P259">
        <f t="shared" ref="P259:P322" si="44">IF(O259&lt;4,1,0)</f>
        <v>0</v>
      </c>
      <c r="Q259">
        <f t="shared" si="36"/>
        <v>1</v>
      </c>
      <c r="R259">
        <f t="shared" si="37"/>
        <v>0</v>
      </c>
    </row>
    <row r="260" spans="1:18" x14ac:dyDescent="0.2">
      <c r="A260">
        <v>51015</v>
      </c>
      <c r="B260">
        <v>0</v>
      </c>
      <c r="C260">
        <f t="shared" si="38"/>
        <v>0</v>
      </c>
      <c r="D260">
        <f t="shared" si="39"/>
        <v>1</v>
      </c>
      <c r="E260">
        <v>3</v>
      </c>
      <c r="F260">
        <f t="shared" si="40"/>
        <v>0</v>
      </c>
      <c r="G260">
        <f t="shared" si="41"/>
        <v>0</v>
      </c>
      <c r="H260">
        <f t="shared" si="42"/>
        <v>1</v>
      </c>
      <c r="I260">
        <f t="shared" si="43"/>
        <v>0</v>
      </c>
      <c r="J260">
        <v>1</v>
      </c>
      <c r="K260">
        <v>4</v>
      </c>
      <c r="L260">
        <v>10.199999999999999</v>
      </c>
      <c r="M260">
        <v>3.3</v>
      </c>
      <c r="N260">
        <v>12</v>
      </c>
      <c r="O260" s="1">
        <f>((INT(N260)-INT(L260))*3)-(((L260-INT(L260))*10) - ((N260-INT(N260))*10))</f>
        <v>4.0000000000000071</v>
      </c>
      <c r="P260">
        <f t="shared" si="44"/>
        <v>0</v>
      </c>
      <c r="Q260">
        <f t="shared" si="36"/>
        <v>1</v>
      </c>
      <c r="R260">
        <f t="shared" si="37"/>
        <v>0</v>
      </c>
    </row>
    <row r="261" spans="1:18" x14ac:dyDescent="0.2">
      <c r="A261">
        <v>51133</v>
      </c>
      <c r="B261">
        <v>0</v>
      </c>
      <c r="C261">
        <f t="shared" si="38"/>
        <v>0</v>
      </c>
      <c r="D261">
        <f t="shared" si="39"/>
        <v>1</v>
      </c>
      <c r="E261">
        <v>4</v>
      </c>
      <c r="F261">
        <f t="shared" si="40"/>
        <v>0</v>
      </c>
      <c r="G261">
        <f t="shared" si="41"/>
        <v>0</v>
      </c>
      <c r="H261">
        <f t="shared" si="42"/>
        <v>0</v>
      </c>
      <c r="I261">
        <f t="shared" si="43"/>
        <v>1</v>
      </c>
      <c r="J261">
        <v>0</v>
      </c>
      <c r="K261">
        <v>2.7</v>
      </c>
      <c r="L261">
        <v>8</v>
      </c>
      <c r="M261">
        <v>2</v>
      </c>
      <c r="N261">
        <v>11</v>
      </c>
      <c r="O261" s="1">
        <f>((INT(N261)-INT(L261))*3)-(((L261-INT(L261))*10) - ((N261-INT(N261))*10))</f>
        <v>9</v>
      </c>
      <c r="P261">
        <f t="shared" si="44"/>
        <v>0</v>
      </c>
      <c r="Q261">
        <f t="shared" si="36"/>
        <v>0</v>
      </c>
      <c r="R261">
        <f t="shared" si="37"/>
        <v>1</v>
      </c>
    </row>
    <row r="262" spans="1:18" x14ac:dyDescent="0.2">
      <c r="A262">
        <v>51169</v>
      </c>
      <c r="B262">
        <v>0</v>
      </c>
      <c r="C262">
        <f t="shared" si="38"/>
        <v>0</v>
      </c>
      <c r="D262">
        <f t="shared" si="39"/>
        <v>1</v>
      </c>
      <c r="E262">
        <v>1</v>
      </c>
      <c r="F262">
        <f t="shared" si="40"/>
        <v>1</v>
      </c>
      <c r="G262">
        <f t="shared" si="41"/>
        <v>0</v>
      </c>
      <c r="H262">
        <f t="shared" si="42"/>
        <v>0</v>
      </c>
      <c r="I262">
        <f t="shared" si="43"/>
        <v>0</v>
      </c>
      <c r="J262">
        <v>0</v>
      </c>
      <c r="K262">
        <v>3.3</v>
      </c>
      <c r="L262">
        <v>9</v>
      </c>
      <c r="M262">
        <v>2.2999999999999998</v>
      </c>
      <c r="N262">
        <v>10</v>
      </c>
      <c r="O262" s="1">
        <f>((INT(N262)-INT(L262))*3)-(((L262-INT(L262))*10) - ((N262-INT(N262))*10))</f>
        <v>3</v>
      </c>
      <c r="P262">
        <f t="shared" si="44"/>
        <v>1</v>
      </c>
      <c r="Q262">
        <f t="shared" si="36"/>
        <v>0</v>
      </c>
      <c r="R262">
        <f t="shared" si="37"/>
        <v>0</v>
      </c>
    </row>
    <row r="263" spans="1:18" x14ac:dyDescent="0.2">
      <c r="A263">
        <v>51278</v>
      </c>
      <c r="B263">
        <v>0</v>
      </c>
      <c r="C263">
        <f t="shared" si="38"/>
        <v>0</v>
      </c>
      <c r="D263">
        <f t="shared" si="39"/>
        <v>1</v>
      </c>
      <c r="E263">
        <v>1</v>
      </c>
      <c r="F263">
        <f t="shared" si="40"/>
        <v>1</v>
      </c>
      <c r="G263">
        <f t="shared" si="41"/>
        <v>0</v>
      </c>
      <c r="H263">
        <f t="shared" si="42"/>
        <v>0</v>
      </c>
      <c r="I263">
        <f t="shared" si="43"/>
        <v>0</v>
      </c>
      <c r="J263">
        <v>1</v>
      </c>
      <c r="K263">
        <v>2</v>
      </c>
      <c r="L263">
        <v>5.2</v>
      </c>
      <c r="M263">
        <v>2.7</v>
      </c>
      <c r="N263">
        <v>7</v>
      </c>
      <c r="O263" s="1">
        <f>((INT(N263)-INT(L263))*3)-(((L263-INT(L263))*10) - ((N263-INT(N263))*10))</f>
        <v>3.9999999999999982</v>
      </c>
      <c r="P263">
        <f t="shared" si="44"/>
        <v>0</v>
      </c>
      <c r="Q263">
        <f t="shared" si="36"/>
        <v>1</v>
      </c>
      <c r="R263">
        <f t="shared" si="37"/>
        <v>0</v>
      </c>
    </row>
    <row r="264" spans="1:18" x14ac:dyDescent="0.2">
      <c r="A264">
        <v>51375</v>
      </c>
      <c r="B264">
        <v>0</v>
      </c>
      <c r="C264">
        <f t="shared" si="38"/>
        <v>0</v>
      </c>
      <c r="D264">
        <f t="shared" si="39"/>
        <v>1</v>
      </c>
      <c r="E264">
        <v>3</v>
      </c>
      <c r="F264">
        <f t="shared" si="40"/>
        <v>0</v>
      </c>
      <c r="G264">
        <f t="shared" si="41"/>
        <v>0</v>
      </c>
      <c r="H264">
        <f t="shared" si="42"/>
        <v>1</v>
      </c>
      <c r="I264">
        <f t="shared" si="43"/>
        <v>0</v>
      </c>
      <c r="J264">
        <v>1</v>
      </c>
      <c r="K264">
        <v>2.2999999999999998</v>
      </c>
      <c r="L264">
        <v>1</v>
      </c>
      <c r="M264">
        <v>2.7</v>
      </c>
      <c r="N264">
        <v>2</v>
      </c>
      <c r="O264" s="1">
        <f>((INT(N264)-INT(L264))*3)-(((L264-INT(L264))*10) - ((N264-INT(N264))*10))</f>
        <v>3</v>
      </c>
      <c r="P264">
        <f t="shared" si="44"/>
        <v>1</v>
      </c>
      <c r="Q264">
        <f t="shared" si="36"/>
        <v>0</v>
      </c>
      <c r="R264">
        <f t="shared" si="37"/>
        <v>0</v>
      </c>
    </row>
    <row r="265" spans="1:18" x14ac:dyDescent="0.2">
      <c r="A265">
        <v>51435</v>
      </c>
      <c r="B265">
        <v>0</v>
      </c>
      <c r="C265">
        <f t="shared" si="38"/>
        <v>0</v>
      </c>
      <c r="D265">
        <f t="shared" si="39"/>
        <v>1</v>
      </c>
      <c r="E265">
        <v>1</v>
      </c>
      <c r="F265">
        <f t="shared" si="40"/>
        <v>1</v>
      </c>
      <c r="G265">
        <f t="shared" si="41"/>
        <v>0</v>
      </c>
      <c r="H265">
        <f t="shared" si="42"/>
        <v>0</v>
      </c>
      <c r="I265">
        <f t="shared" si="43"/>
        <v>0</v>
      </c>
      <c r="J265">
        <v>0</v>
      </c>
      <c r="K265">
        <v>3</v>
      </c>
      <c r="L265">
        <v>9.1999999999999993</v>
      </c>
      <c r="M265">
        <v>4</v>
      </c>
      <c r="N265">
        <v>11.2</v>
      </c>
      <c r="O265" s="1">
        <f>((INT(N265)-INT(L265))*3)-(((L265-INT(L265))*10) - ((N265-INT(N265))*10))</f>
        <v>6</v>
      </c>
      <c r="P265">
        <f t="shared" si="44"/>
        <v>0</v>
      </c>
      <c r="Q265">
        <f t="shared" si="36"/>
        <v>0</v>
      </c>
      <c r="R265">
        <f t="shared" si="37"/>
        <v>1</v>
      </c>
    </row>
    <row r="266" spans="1:18" x14ac:dyDescent="0.2">
      <c r="A266">
        <v>51673</v>
      </c>
      <c r="B266">
        <v>0</v>
      </c>
      <c r="C266">
        <f t="shared" si="38"/>
        <v>0</v>
      </c>
      <c r="D266">
        <f t="shared" si="39"/>
        <v>1</v>
      </c>
      <c r="E266">
        <v>2</v>
      </c>
      <c r="F266">
        <f t="shared" si="40"/>
        <v>0</v>
      </c>
      <c r="G266">
        <f t="shared" si="41"/>
        <v>1</v>
      </c>
      <c r="H266">
        <f t="shared" si="42"/>
        <v>0</v>
      </c>
      <c r="I266">
        <f t="shared" si="43"/>
        <v>0</v>
      </c>
      <c r="J266">
        <v>0</v>
      </c>
      <c r="K266">
        <v>2.7</v>
      </c>
      <c r="L266">
        <v>6</v>
      </c>
      <c r="M266">
        <v>3.7</v>
      </c>
      <c r="N266">
        <v>7</v>
      </c>
      <c r="O266" s="1">
        <f>((INT(N266)-INT(L266))*3)-(((L266-INT(L266))*10) - ((N266-INT(N266))*10))</f>
        <v>3</v>
      </c>
      <c r="P266">
        <f t="shared" si="44"/>
        <v>1</v>
      </c>
      <c r="Q266">
        <f t="shared" si="36"/>
        <v>0</v>
      </c>
      <c r="R266">
        <f t="shared" si="37"/>
        <v>0</v>
      </c>
    </row>
    <row r="267" spans="1:18" x14ac:dyDescent="0.2">
      <c r="A267">
        <v>51833</v>
      </c>
      <c r="B267">
        <v>0</v>
      </c>
      <c r="C267">
        <f t="shared" si="38"/>
        <v>0</v>
      </c>
      <c r="D267">
        <f t="shared" si="39"/>
        <v>1</v>
      </c>
      <c r="E267">
        <v>2</v>
      </c>
      <c r="F267">
        <f t="shared" si="40"/>
        <v>0</v>
      </c>
      <c r="G267">
        <f t="shared" si="41"/>
        <v>1</v>
      </c>
      <c r="H267">
        <f t="shared" si="42"/>
        <v>0</v>
      </c>
      <c r="I267">
        <f t="shared" si="43"/>
        <v>0</v>
      </c>
      <c r="J267">
        <v>1</v>
      </c>
      <c r="K267">
        <v>2</v>
      </c>
      <c r="L267">
        <v>7</v>
      </c>
      <c r="M267">
        <v>3</v>
      </c>
      <c r="N267">
        <v>9.1</v>
      </c>
      <c r="O267" s="1">
        <f>((INT(N267)-INT(L267))*3)-(((L267-INT(L267))*10) - ((N267-INT(N267))*10))</f>
        <v>6.9999999999999964</v>
      </c>
      <c r="P267">
        <f t="shared" si="44"/>
        <v>0</v>
      </c>
      <c r="Q267">
        <f t="shared" si="36"/>
        <v>0</v>
      </c>
      <c r="R267">
        <f t="shared" si="37"/>
        <v>1</v>
      </c>
    </row>
    <row r="268" spans="1:18" x14ac:dyDescent="0.2">
      <c r="A268">
        <v>51892</v>
      </c>
      <c r="B268">
        <v>1</v>
      </c>
      <c r="C268">
        <f t="shared" si="38"/>
        <v>1</v>
      </c>
      <c r="D268">
        <f t="shared" si="39"/>
        <v>0</v>
      </c>
      <c r="E268">
        <v>1</v>
      </c>
      <c r="F268">
        <f t="shared" si="40"/>
        <v>1</v>
      </c>
      <c r="G268">
        <f t="shared" si="41"/>
        <v>0</v>
      </c>
      <c r="H268">
        <f t="shared" si="42"/>
        <v>0</v>
      </c>
      <c r="I268">
        <f t="shared" si="43"/>
        <v>0</v>
      </c>
      <c r="J268">
        <v>0</v>
      </c>
      <c r="K268">
        <v>2.7</v>
      </c>
      <c r="L268">
        <v>9</v>
      </c>
      <c r="M268">
        <v>2.2999999999999998</v>
      </c>
      <c r="N268">
        <v>11</v>
      </c>
      <c r="O268" s="1">
        <f>((INT(N268)-INT(L268))*3)-(((L268-INT(L268))*10) - ((N268-INT(N268))*10))</f>
        <v>6</v>
      </c>
      <c r="P268">
        <f t="shared" si="44"/>
        <v>0</v>
      </c>
      <c r="Q268">
        <f t="shared" si="36"/>
        <v>0</v>
      </c>
      <c r="R268">
        <f t="shared" si="37"/>
        <v>1</v>
      </c>
    </row>
    <row r="269" spans="1:18" x14ac:dyDescent="0.2">
      <c r="A269">
        <v>51902</v>
      </c>
      <c r="B269">
        <v>0</v>
      </c>
      <c r="C269">
        <f t="shared" si="38"/>
        <v>0</v>
      </c>
      <c r="D269">
        <f t="shared" si="39"/>
        <v>1</v>
      </c>
      <c r="E269">
        <v>1</v>
      </c>
      <c r="F269">
        <f t="shared" si="40"/>
        <v>1</v>
      </c>
      <c r="G269">
        <f t="shared" si="41"/>
        <v>0</v>
      </c>
      <c r="H269">
        <f t="shared" si="42"/>
        <v>0</v>
      </c>
      <c r="I269">
        <f t="shared" si="43"/>
        <v>0</v>
      </c>
      <c r="J269">
        <v>0</v>
      </c>
      <c r="K269">
        <v>3</v>
      </c>
      <c r="L269">
        <v>10.199999999999999</v>
      </c>
      <c r="M269">
        <v>3</v>
      </c>
      <c r="N269">
        <v>12.2</v>
      </c>
      <c r="O269" s="1">
        <f>((INT(N269)-INT(L269))*3)-(((L269-INT(L269))*10) - ((N269-INT(N269))*10))</f>
        <v>6</v>
      </c>
      <c r="P269">
        <f t="shared" si="44"/>
        <v>0</v>
      </c>
      <c r="Q269">
        <f t="shared" si="36"/>
        <v>0</v>
      </c>
      <c r="R269">
        <f t="shared" si="37"/>
        <v>1</v>
      </c>
    </row>
    <row r="270" spans="1:18" x14ac:dyDescent="0.2">
      <c r="A270">
        <v>51973</v>
      </c>
      <c r="B270">
        <v>1</v>
      </c>
      <c r="C270">
        <f t="shared" si="38"/>
        <v>1</v>
      </c>
      <c r="D270">
        <f t="shared" si="39"/>
        <v>0</v>
      </c>
      <c r="E270">
        <v>1</v>
      </c>
      <c r="F270">
        <f t="shared" si="40"/>
        <v>1</v>
      </c>
      <c r="G270">
        <f t="shared" si="41"/>
        <v>0</v>
      </c>
      <c r="H270">
        <f t="shared" si="42"/>
        <v>0</v>
      </c>
      <c r="I270">
        <f t="shared" si="43"/>
        <v>0</v>
      </c>
      <c r="J270">
        <v>1</v>
      </c>
      <c r="K270">
        <v>2</v>
      </c>
      <c r="L270">
        <v>1.2</v>
      </c>
      <c r="M270">
        <v>4</v>
      </c>
      <c r="N270">
        <v>1.1000000000000001</v>
      </c>
      <c r="O270" s="1">
        <f>((INT(N270)-INT(L270))*3)-(((L270-INT(L270))*10) - ((N270-INT(N270))*10))</f>
        <v>-0.99999999999999867</v>
      </c>
      <c r="P270">
        <f t="shared" si="44"/>
        <v>1</v>
      </c>
      <c r="Q270">
        <f t="shared" si="36"/>
        <v>0</v>
      </c>
      <c r="R270">
        <f t="shared" si="37"/>
        <v>0</v>
      </c>
    </row>
    <row r="271" spans="1:18" x14ac:dyDescent="0.2">
      <c r="A271">
        <v>52163</v>
      </c>
      <c r="B271">
        <v>0</v>
      </c>
      <c r="C271">
        <f t="shared" si="38"/>
        <v>0</v>
      </c>
      <c r="D271">
        <f t="shared" si="39"/>
        <v>1</v>
      </c>
      <c r="E271">
        <v>1</v>
      </c>
      <c r="F271">
        <f t="shared" si="40"/>
        <v>1</v>
      </c>
      <c r="G271">
        <f t="shared" si="41"/>
        <v>0</v>
      </c>
      <c r="H271">
        <f t="shared" si="42"/>
        <v>0</v>
      </c>
      <c r="I271">
        <f t="shared" si="43"/>
        <v>0</v>
      </c>
      <c r="J271">
        <v>0</v>
      </c>
      <c r="K271">
        <v>2</v>
      </c>
      <c r="L271">
        <v>10.199999999999999</v>
      </c>
      <c r="M271">
        <v>2</v>
      </c>
      <c r="N271">
        <v>12</v>
      </c>
      <c r="O271" s="1">
        <f>((INT(N271)-INT(L271))*3)-(((L271-INT(L271))*10) - ((N271-INT(N271))*10))</f>
        <v>4.0000000000000071</v>
      </c>
      <c r="P271">
        <f t="shared" si="44"/>
        <v>0</v>
      </c>
      <c r="Q271">
        <f t="shared" si="36"/>
        <v>1</v>
      </c>
      <c r="R271">
        <f t="shared" si="37"/>
        <v>0</v>
      </c>
    </row>
    <row r="272" spans="1:18" x14ac:dyDescent="0.2">
      <c r="A272">
        <v>52699</v>
      </c>
      <c r="B272">
        <v>0</v>
      </c>
      <c r="C272">
        <f t="shared" si="38"/>
        <v>0</v>
      </c>
      <c r="D272">
        <f t="shared" si="39"/>
        <v>1</v>
      </c>
      <c r="E272">
        <v>1</v>
      </c>
      <c r="F272">
        <f t="shared" si="40"/>
        <v>1</v>
      </c>
      <c r="G272">
        <f t="shared" si="41"/>
        <v>0</v>
      </c>
      <c r="H272">
        <f t="shared" si="42"/>
        <v>0</v>
      </c>
      <c r="I272">
        <f t="shared" si="43"/>
        <v>0</v>
      </c>
      <c r="J272">
        <v>0</v>
      </c>
      <c r="K272">
        <v>2</v>
      </c>
      <c r="L272">
        <v>2</v>
      </c>
      <c r="M272">
        <v>3</v>
      </c>
      <c r="N272">
        <v>4</v>
      </c>
      <c r="O272" s="1">
        <f>((INT(N272)-INT(L272))*3)-(((L272-INT(L272))*10) - ((N272-INT(N272))*10))</f>
        <v>6</v>
      </c>
      <c r="P272">
        <f t="shared" si="44"/>
        <v>0</v>
      </c>
      <c r="Q272">
        <f t="shared" si="36"/>
        <v>0</v>
      </c>
      <c r="R272">
        <f t="shared" si="37"/>
        <v>1</v>
      </c>
    </row>
    <row r="273" spans="1:18" x14ac:dyDescent="0.2">
      <c r="A273">
        <v>52741</v>
      </c>
      <c r="B273">
        <v>0</v>
      </c>
      <c r="C273">
        <f t="shared" si="38"/>
        <v>0</v>
      </c>
      <c r="D273">
        <f t="shared" si="39"/>
        <v>1</v>
      </c>
      <c r="E273">
        <v>4</v>
      </c>
      <c r="F273">
        <f t="shared" si="40"/>
        <v>0</v>
      </c>
      <c r="G273">
        <f t="shared" si="41"/>
        <v>0</v>
      </c>
      <c r="H273">
        <f t="shared" si="42"/>
        <v>0</v>
      </c>
      <c r="I273">
        <f t="shared" si="43"/>
        <v>1</v>
      </c>
      <c r="J273">
        <v>1</v>
      </c>
      <c r="K273">
        <v>4</v>
      </c>
      <c r="L273">
        <v>9.1999999999999993</v>
      </c>
      <c r="M273">
        <v>4</v>
      </c>
      <c r="N273">
        <v>10.199999999999999</v>
      </c>
      <c r="O273" s="1">
        <f>((INT(N273)-INT(L273))*3)-(((L273-INT(L273))*10) - ((N273-INT(N273))*10))</f>
        <v>3</v>
      </c>
      <c r="P273">
        <f t="shared" si="44"/>
        <v>1</v>
      </c>
      <c r="Q273">
        <f t="shared" si="36"/>
        <v>0</v>
      </c>
      <c r="R273">
        <f t="shared" si="37"/>
        <v>0</v>
      </c>
    </row>
    <row r="274" spans="1:18" x14ac:dyDescent="0.2">
      <c r="A274">
        <v>52946</v>
      </c>
      <c r="B274">
        <v>1</v>
      </c>
      <c r="C274">
        <f t="shared" si="38"/>
        <v>1</v>
      </c>
      <c r="D274">
        <f t="shared" si="39"/>
        <v>0</v>
      </c>
      <c r="E274">
        <v>1</v>
      </c>
      <c r="F274">
        <f t="shared" si="40"/>
        <v>1</v>
      </c>
      <c r="G274">
        <f t="shared" si="41"/>
        <v>0</v>
      </c>
      <c r="H274">
        <f t="shared" si="42"/>
        <v>0</v>
      </c>
      <c r="I274">
        <f t="shared" si="43"/>
        <v>0</v>
      </c>
      <c r="J274">
        <v>1</v>
      </c>
      <c r="K274">
        <v>4</v>
      </c>
      <c r="L274">
        <v>10.199999999999999</v>
      </c>
      <c r="M274">
        <v>3.7</v>
      </c>
      <c r="N274">
        <v>12</v>
      </c>
      <c r="O274" s="1">
        <f>((INT(N274)-INT(L274))*3)-(((L274-INT(L274))*10) - ((N274-INT(N274))*10))</f>
        <v>4.0000000000000071</v>
      </c>
      <c r="P274">
        <f t="shared" si="44"/>
        <v>0</v>
      </c>
      <c r="Q274">
        <f t="shared" si="36"/>
        <v>1</v>
      </c>
      <c r="R274">
        <f t="shared" si="37"/>
        <v>0</v>
      </c>
    </row>
    <row r="275" spans="1:18" x14ac:dyDescent="0.2">
      <c r="A275">
        <v>53033</v>
      </c>
      <c r="B275">
        <v>0</v>
      </c>
      <c r="C275">
        <f t="shared" si="38"/>
        <v>0</v>
      </c>
      <c r="D275">
        <f t="shared" si="39"/>
        <v>1</v>
      </c>
      <c r="E275">
        <v>4</v>
      </c>
      <c r="F275">
        <f t="shared" si="40"/>
        <v>0</v>
      </c>
      <c r="G275">
        <f t="shared" si="41"/>
        <v>0</v>
      </c>
      <c r="H275">
        <f t="shared" si="42"/>
        <v>0</v>
      </c>
      <c r="I275">
        <f t="shared" si="43"/>
        <v>1</v>
      </c>
      <c r="J275">
        <v>0</v>
      </c>
      <c r="K275">
        <v>4</v>
      </c>
      <c r="L275">
        <v>5.2</v>
      </c>
      <c r="M275">
        <v>4.3</v>
      </c>
      <c r="N275">
        <v>7</v>
      </c>
      <c r="O275" s="1">
        <f>((INT(N275)-INT(L275))*3)-(((L275-INT(L275))*10) - ((N275-INT(N275))*10))</f>
        <v>3.9999999999999982</v>
      </c>
      <c r="P275">
        <f t="shared" si="44"/>
        <v>0</v>
      </c>
      <c r="Q275">
        <f t="shared" si="36"/>
        <v>1</v>
      </c>
      <c r="R275">
        <f t="shared" si="37"/>
        <v>0</v>
      </c>
    </row>
    <row r="276" spans="1:18" x14ac:dyDescent="0.2">
      <c r="A276">
        <v>53051</v>
      </c>
      <c r="B276">
        <v>0</v>
      </c>
      <c r="C276">
        <f t="shared" si="38"/>
        <v>0</v>
      </c>
      <c r="D276">
        <f t="shared" si="39"/>
        <v>1</v>
      </c>
      <c r="E276">
        <v>1</v>
      </c>
      <c r="F276">
        <f t="shared" si="40"/>
        <v>1</v>
      </c>
      <c r="G276">
        <f t="shared" si="41"/>
        <v>0</v>
      </c>
      <c r="H276">
        <f t="shared" si="42"/>
        <v>0</v>
      </c>
      <c r="I276">
        <f t="shared" si="43"/>
        <v>0</v>
      </c>
      <c r="J276">
        <v>0</v>
      </c>
      <c r="K276">
        <v>2</v>
      </c>
      <c r="L276">
        <v>9.1999999999999993</v>
      </c>
      <c r="M276">
        <v>3.7</v>
      </c>
      <c r="N276">
        <v>11.2</v>
      </c>
      <c r="O276" s="1">
        <f>((INT(N276)-INT(L276))*3)-(((L276-INT(L276))*10) - ((N276-INT(N276))*10))</f>
        <v>6</v>
      </c>
      <c r="P276">
        <f t="shared" si="44"/>
        <v>0</v>
      </c>
      <c r="Q276">
        <f t="shared" si="36"/>
        <v>0</v>
      </c>
      <c r="R276">
        <f t="shared" si="37"/>
        <v>1</v>
      </c>
    </row>
    <row r="277" spans="1:18" x14ac:dyDescent="0.2">
      <c r="A277">
        <v>53078</v>
      </c>
      <c r="B277">
        <v>0</v>
      </c>
      <c r="C277">
        <f t="shared" si="38"/>
        <v>0</v>
      </c>
      <c r="D277">
        <f t="shared" si="39"/>
        <v>1</v>
      </c>
      <c r="E277">
        <v>4</v>
      </c>
      <c r="F277">
        <f t="shared" si="40"/>
        <v>0</v>
      </c>
      <c r="G277">
        <f t="shared" si="41"/>
        <v>0</v>
      </c>
      <c r="H277">
        <f t="shared" si="42"/>
        <v>0</v>
      </c>
      <c r="I277">
        <f t="shared" si="43"/>
        <v>1</v>
      </c>
      <c r="J277">
        <v>1</v>
      </c>
      <c r="K277">
        <v>2.2999999999999998</v>
      </c>
      <c r="L277">
        <v>7.2</v>
      </c>
      <c r="M277">
        <v>3.3</v>
      </c>
      <c r="N277">
        <v>9</v>
      </c>
      <c r="O277" s="1">
        <f>((INT(N277)-INT(L277))*3)-(((L277-INT(L277))*10) - ((N277-INT(N277))*10))</f>
        <v>3.9999999999999982</v>
      </c>
      <c r="P277">
        <f t="shared" si="44"/>
        <v>0</v>
      </c>
      <c r="Q277">
        <f t="shared" si="36"/>
        <v>1</v>
      </c>
      <c r="R277">
        <f t="shared" si="37"/>
        <v>0</v>
      </c>
    </row>
    <row r="278" spans="1:18" x14ac:dyDescent="0.2">
      <c r="A278">
        <v>53433</v>
      </c>
      <c r="B278">
        <v>0</v>
      </c>
      <c r="C278">
        <f t="shared" si="38"/>
        <v>0</v>
      </c>
      <c r="D278">
        <f t="shared" si="39"/>
        <v>1</v>
      </c>
      <c r="E278">
        <v>3</v>
      </c>
      <c r="F278">
        <f t="shared" si="40"/>
        <v>0</v>
      </c>
      <c r="G278">
        <f t="shared" si="41"/>
        <v>0</v>
      </c>
      <c r="H278">
        <f t="shared" si="42"/>
        <v>1</v>
      </c>
      <c r="I278">
        <f t="shared" si="43"/>
        <v>0</v>
      </c>
      <c r="J278">
        <v>1</v>
      </c>
      <c r="K278">
        <v>4.3</v>
      </c>
      <c r="L278">
        <v>7.1</v>
      </c>
      <c r="M278">
        <v>4.3</v>
      </c>
      <c r="N278">
        <v>8.1</v>
      </c>
      <c r="O278" s="1">
        <f>((INT(N278)-INT(L278))*3)-(((L278-INT(L278))*10) - ((N278-INT(N278))*10))</f>
        <v>3</v>
      </c>
      <c r="P278">
        <f t="shared" si="44"/>
        <v>1</v>
      </c>
      <c r="Q278">
        <f t="shared" si="36"/>
        <v>0</v>
      </c>
      <c r="R278">
        <f t="shared" si="37"/>
        <v>0</v>
      </c>
    </row>
    <row r="279" spans="1:18" x14ac:dyDescent="0.2">
      <c r="A279">
        <v>53601</v>
      </c>
      <c r="B279">
        <v>0</v>
      </c>
      <c r="C279">
        <f t="shared" si="38"/>
        <v>0</v>
      </c>
      <c r="D279">
        <f t="shared" si="39"/>
        <v>1</v>
      </c>
      <c r="E279">
        <v>2</v>
      </c>
      <c r="F279">
        <f t="shared" si="40"/>
        <v>0</v>
      </c>
      <c r="G279">
        <f t="shared" si="41"/>
        <v>1</v>
      </c>
      <c r="H279">
        <f t="shared" si="42"/>
        <v>0</v>
      </c>
      <c r="I279">
        <f t="shared" si="43"/>
        <v>0</v>
      </c>
      <c r="J279">
        <v>0</v>
      </c>
      <c r="K279">
        <v>2</v>
      </c>
      <c r="L279">
        <v>10.199999999999999</v>
      </c>
      <c r="M279">
        <v>3</v>
      </c>
      <c r="N279">
        <v>12.1</v>
      </c>
      <c r="O279" s="1">
        <f>((INT(N279)-INT(L279))*3)-(((L279-INT(L279))*10) - ((N279-INT(N279))*10))</f>
        <v>5.0000000000000036</v>
      </c>
      <c r="P279">
        <f t="shared" si="44"/>
        <v>0</v>
      </c>
      <c r="Q279">
        <f t="shared" ref="Q279:Q342" si="45">IF(AND(O279&gt;3,O279&lt;6),1,0)</f>
        <v>1</v>
      </c>
      <c r="R279">
        <f t="shared" ref="R279:R342" si="46">IF(O279&gt;5,1,0)</f>
        <v>0</v>
      </c>
    </row>
    <row r="280" spans="1:18" x14ac:dyDescent="0.2">
      <c r="A280">
        <v>53621</v>
      </c>
      <c r="B280">
        <v>0</v>
      </c>
      <c r="C280">
        <f t="shared" si="38"/>
        <v>0</v>
      </c>
      <c r="D280">
        <f t="shared" si="39"/>
        <v>1</v>
      </c>
      <c r="E280">
        <v>2</v>
      </c>
      <c r="F280">
        <f t="shared" si="40"/>
        <v>0</v>
      </c>
      <c r="G280">
        <f t="shared" si="41"/>
        <v>1</v>
      </c>
      <c r="H280">
        <f t="shared" si="42"/>
        <v>0</v>
      </c>
      <c r="I280">
        <f t="shared" si="43"/>
        <v>0</v>
      </c>
      <c r="J280">
        <v>1</v>
      </c>
      <c r="K280">
        <v>3</v>
      </c>
      <c r="L280">
        <v>10.199999999999999</v>
      </c>
      <c r="M280">
        <v>3.7</v>
      </c>
      <c r="N280">
        <v>12</v>
      </c>
      <c r="O280" s="1">
        <f>((INT(N280)-INT(L280))*3)-(((L280-INT(L280))*10) - ((N280-INT(N280))*10))</f>
        <v>4.0000000000000071</v>
      </c>
      <c r="P280">
        <f t="shared" si="44"/>
        <v>0</v>
      </c>
      <c r="Q280">
        <f t="shared" si="45"/>
        <v>1</v>
      </c>
      <c r="R280">
        <f t="shared" si="46"/>
        <v>0</v>
      </c>
    </row>
    <row r="281" spans="1:18" x14ac:dyDescent="0.2">
      <c r="A281">
        <v>53780</v>
      </c>
      <c r="B281">
        <v>0</v>
      </c>
      <c r="C281">
        <f t="shared" si="38"/>
        <v>0</v>
      </c>
      <c r="D281">
        <f t="shared" si="39"/>
        <v>1</v>
      </c>
      <c r="E281">
        <v>1</v>
      </c>
      <c r="F281">
        <f t="shared" si="40"/>
        <v>1</v>
      </c>
      <c r="G281">
        <f t="shared" si="41"/>
        <v>0</v>
      </c>
      <c r="H281">
        <f t="shared" si="42"/>
        <v>0</v>
      </c>
      <c r="I281">
        <f t="shared" si="43"/>
        <v>0</v>
      </c>
      <c r="J281">
        <v>1</v>
      </c>
      <c r="K281">
        <v>3</v>
      </c>
      <c r="L281">
        <v>7</v>
      </c>
      <c r="M281">
        <v>3.3</v>
      </c>
      <c r="N281">
        <v>11</v>
      </c>
      <c r="O281" s="1">
        <f>((INT(N281)-INT(L281))*3)-(((L281-INT(L281))*10) - ((N281-INT(N281))*10))</f>
        <v>12</v>
      </c>
      <c r="P281">
        <f t="shared" si="44"/>
        <v>0</v>
      </c>
      <c r="Q281">
        <f t="shared" si="45"/>
        <v>0</v>
      </c>
      <c r="R281">
        <f t="shared" si="46"/>
        <v>1</v>
      </c>
    </row>
    <row r="282" spans="1:18" x14ac:dyDescent="0.2">
      <c r="A282">
        <v>53812</v>
      </c>
      <c r="B282">
        <v>0</v>
      </c>
      <c r="C282">
        <f t="shared" si="38"/>
        <v>0</v>
      </c>
      <c r="D282">
        <f t="shared" si="39"/>
        <v>1</v>
      </c>
      <c r="E282">
        <v>1</v>
      </c>
      <c r="F282">
        <f t="shared" si="40"/>
        <v>1</v>
      </c>
      <c r="G282">
        <f t="shared" si="41"/>
        <v>0</v>
      </c>
      <c r="H282">
        <f t="shared" si="42"/>
        <v>0</v>
      </c>
      <c r="I282">
        <f t="shared" si="43"/>
        <v>0</v>
      </c>
      <c r="J282">
        <v>0</v>
      </c>
      <c r="K282">
        <v>3.3</v>
      </c>
      <c r="L282">
        <v>9</v>
      </c>
      <c r="M282">
        <v>2.7</v>
      </c>
      <c r="N282">
        <v>11</v>
      </c>
      <c r="O282" s="1">
        <f>((INT(N282)-INT(L282))*3)-(((L282-INT(L282))*10) - ((N282-INT(N282))*10))</f>
        <v>6</v>
      </c>
      <c r="P282">
        <f t="shared" si="44"/>
        <v>0</v>
      </c>
      <c r="Q282">
        <f t="shared" si="45"/>
        <v>0</v>
      </c>
      <c r="R282">
        <f t="shared" si="46"/>
        <v>1</v>
      </c>
    </row>
    <row r="283" spans="1:18" x14ac:dyDescent="0.2">
      <c r="A283">
        <v>53869</v>
      </c>
      <c r="B283">
        <v>0</v>
      </c>
      <c r="C283">
        <f t="shared" si="38"/>
        <v>0</v>
      </c>
      <c r="D283">
        <f t="shared" si="39"/>
        <v>1</v>
      </c>
      <c r="E283">
        <v>1</v>
      </c>
      <c r="F283">
        <f t="shared" si="40"/>
        <v>1</v>
      </c>
      <c r="G283">
        <f t="shared" si="41"/>
        <v>0</v>
      </c>
      <c r="H283">
        <f t="shared" si="42"/>
        <v>0</v>
      </c>
      <c r="I283">
        <f t="shared" si="43"/>
        <v>0</v>
      </c>
      <c r="J283">
        <v>0</v>
      </c>
      <c r="K283">
        <v>2</v>
      </c>
      <c r="L283">
        <v>7.2</v>
      </c>
      <c r="M283">
        <v>3.7</v>
      </c>
      <c r="N283">
        <v>8.1999999999999993</v>
      </c>
      <c r="O283" s="1">
        <f>((INT(N283)-INT(L283))*3)-(((L283-INT(L283))*10) - ((N283-INT(N283))*10))</f>
        <v>2.9999999999999911</v>
      </c>
      <c r="P283">
        <f t="shared" si="44"/>
        <v>1</v>
      </c>
      <c r="Q283">
        <f t="shared" si="45"/>
        <v>0</v>
      </c>
      <c r="R283">
        <f t="shared" si="46"/>
        <v>0</v>
      </c>
    </row>
    <row r="284" spans="1:18" x14ac:dyDescent="0.2">
      <c r="A284">
        <v>54753</v>
      </c>
      <c r="B284">
        <v>0</v>
      </c>
      <c r="C284">
        <f t="shared" si="38"/>
        <v>0</v>
      </c>
      <c r="D284">
        <f t="shared" si="39"/>
        <v>1</v>
      </c>
      <c r="E284">
        <v>4</v>
      </c>
      <c r="F284">
        <f t="shared" si="40"/>
        <v>0</v>
      </c>
      <c r="G284">
        <f t="shared" si="41"/>
        <v>0</v>
      </c>
      <c r="H284">
        <f t="shared" si="42"/>
        <v>0</v>
      </c>
      <c r="I284">
        <f t="shared" si="43"/>
        <v>1</v>
      </c>
      <c r="J284">
        <v>1</v>
      </c>
      <c r="K284">
        <v>3</v>
      </c>
      <c r="L284">
        <v>7.2</v>
      </c>
      <c r="M284">
        <v>3.7</v>
      </c>
      <c r="N284">
        <v>9.1</v>
      </c>
      <c r="O284" s="1">
        <f>((INT(N284)-INT(L284))*3)-(((L284-INT(L284))*10) - ((N284-INT(N284))*10))</f>
        <v>4.9999999999999947</v>
      </c>
      <c r="P284">
        <f t="shared" si="44"/>
        <v>0</v>
      </c>
      <c r="Q284">
        <f t="shared" si="45"/>
        <v>1</v>
      </c>
      <c r="R284">
        <f t="shared" si="46"/>
        <v>0</v>
      </c>
    </row>
    <row r="285" spans="1:18" x14ac:dyDescent="0.2">
      <c r="A285">
        <v>54759</v>
      </c>
      <c r="B285">
        <v>0</v>
      </c>
      <c r="C285">
        <f t="shared" si="38"/>
        <v>0</v>
      </c>
      <c r="D285">
        <f t="shared" si="39"/>
        <v>1</v>
      </c>
      <c r="E285">
        <v>4</v>
      </c>
      <c r="F285">
        <f t="shared" si="40"/>
        <v>0</v>
      </c>
      <c r="G285">
        <f t="shared" si="41"/>
        <v>0</v>
      </c>
      <c r="H285">
        <f t="shared" si="42"/>
        <v>0</v>
      </c>
      <c r="I285">
        <f t="shared" si="43"/>
        <v>1</v>
      </c>
      <c r="J285">
        <v>0</v>
      </c>
      <c r="K285">
        <v>3</v>
      </c>
      <c r="L285">
        <v>10.199999999999999</v>
      </c>
      <c r="M285">
        <v>2.2999999999999998</v>
      </c>
      <c r="N285">
        <v>11.2</v>
      </c>
      <c r="O285" s="1">
        <f>((INT(N285)-INT(L285))*3)-(((L285-INT(L285))*10) - ((N285-INT(N285))*10))</f>
        <v>3</v>
      </c>
      <c r="P285">
        <f t="shared" si="44"/>
        <v>1</v>
      </c>
      <c r="Q285">
        <f t="shared" si="45"/>
        <v>0</v>
      </c>
      <c r="R285">
        <f t="shared" si="46"/>
        <v>0</v>
      </c>
    </row>
    <row r="286" spans="1:18" x14ac:dyDescent="0.2">
      <c r="A286">
        <v>55117</v>
      </c>
      <c r="B286">
        <v>1</v>
      </c>
      <c r="C286">
        <f t="shared" si="38"/>
        <v>1</v>
      </c>
      <c r="D286">
        <f t="shared" si="39"/>
        <v>0</v>
      </c>
      <c r="E286">
        <v>1</v>
      </c>
      <c r="F286">
        <f t="shared" si="40"/>
        <v>1</v>
      </c>
      <c r="G286">
        <f t="shared" si="41"/>
        <v>0</v>
      </c>
      <c r="H286">
        <f t="shared" si="42"/>
        <v>0</v>
      </c>
      <c r="I286">
        <f t="shared" si="43"/>
        <v>0</v>
      </c>
      <c r="J286">
        <v>1</v>
      </c>
      <c r="K286">
        <v>2</v>
      </c>
      <c r="L286">
        <v>10</v>
      </c>
      <c r="M286">
        <v>2</v>
      </c>
      <c r="N286">
        <v>11.1</v>
      </c>
      <c r="O286" s="1">
        <f>((INT(N286)-INT(L286))*3)-(((L286-INT(L286))*10) - ((N286-INT(N286))*10))</f>
        <v>3.9999999999999964</v>
      </c>
      <c r="P286">
        <f t="shared" si="44"/>
        <v>0</v>
      </c>
      <c r="Q286">
        <f t="shared" si="45"/>
        <v>1</v>
      </c>
      <c r="R286">
        <f t="shared" si="46"/>
        <v>0</v>
      </c>
    </row>
    <row r="287" spans="1:18" x14ac:dyDescent="0.2">
      <c r="A287">
        <v>55340</v>
      </c>
      <c r="B287">
        <v>0</v>
      </c>
      <c r="C287">
        <f t="shared" si="38"/>
        <v>0</v>
      </c>
      <c r="D287">
        <f t="shared" si="39"/>
        <v>1</v>
      </c>
      <c r="E287">
        <v>4</v>
      </c>
      <c r="F287">
        <f t="shared" si="40"/>
        <v>0</v>
      </c>
      <c r="G287">
        <f t="shared" si="41"/>
        <v>0</v>
      </c>
      <c r="H287">
        <f t="shared" si="42"/>
        <v>0</v>
      </c>
      <c r="I287">
        <f t="shared" si="43"/>
        <v>1</v>
      </c>
      <c r="J287">
        <v>0</v>
      </c>
      <c r="K287">
        <v>2</v>
      </c>
      <c r="L287">
        <v>4.2</v>
      </c>
      <c r="M287">
        <v>2.7</v>
      </c>
      <c r="N287">
        <v>7</v>
      </c>
      <c r="O287" s="1">
        <f>((INT(N287)-INT(L287))*3)-(((L287-INT(L287))*10) - ((N287-INT(N287))*10))</f>
        <v>6.9999999999999982</v>
      </c>
      <c r="P287">
        <f t="shared" si="44"/>
        <v>0</v>
      </c>
      <c r="Q287">
        <f t="shared" si="45"/>
        <v>0</v>
      </c>
      <c r="R287">
        <f t="shared" si="46"/>
        <v>1</v>
      </c>
    </row>
    <row r="288" spans="1:18" x14ac:dyDescent="0.2">
      <c r="A288">
        <v>55408</v>
      </c>
      <c r="B288">
        <v>0</v>
      </c>
      <c r="C288">
        <f t="shared" si="38"/>
        <v>0</v>
      </c>
      <c r="D288">
        <f t="shared" si="39"/>
        <v>1</v>
      </c>
      <c r="E288">
        <v>2</v>
      </c>
      <c r="F288">
        <f t="shared" si="40"/>
        <v>0</v>
      </c>
      <c r="G288">
        <f t="shared" si="41"/>
        <v>1</v>
      </c>
      <c r="H288">
        <f t="shared" si="42"/>
        <v>0</v>
      </c>
      <c r="I288">
        <f t="shared" si="43"/>
        <v>0</v>
      </c>
      <c r="J288">
        <v>0</v>
      </c>
      <c r="K288">
        <v>3.3</v>
      </c>
      <c r="L288">
        <v>7.1</v>
      </c>
      <c r="M288">
        <v>3.3</v>
      </c>
      <c r="N288">
        <v>9.1</v>
      </c>
      <c r="O288" s="1">
        <f>((INT(N288)-INT(L288))*3)-(((L288-INT(L288))*10) - ((N288-INT(N288))*10))</f>
        <v>6</v>
      </c>
      <c r="P288">
        <f t="shared" si="44"/>
        <v>0</v>
      </c>
      <c r="Q288">
        <f t="shared" si="45"/>
        <v>0</v>
      </c>
      <c r="R288">
        <f t="shared" si="46"/>
        <v>1</v>
      </c>
    </row>
    <row r="289" spans="1:18" x14ac:dyDescent="0.2">
      <c r="A289">
        <v>55543</v>
      </c>
      <c r="B289">
        <v>0</v>
      </c>
      <c r="C289">
        <f t="shared" si="38"/>
        <v>0</v>
      </c>
      <c r="D289">
        <f t="shared" si="39"/>
        <v>1</v>
      </c>
      <c r="E289">
        <v>1</v>
      </c>
      <c r="F289">
        <f t="shared" si="40"/>
        <v>1</v>
      </c>
      <c r="G289">
        <f t="shared" si="41"/>
        <v>0</v>
      </c>
      <c r="H289">
        <f t="shared" si="42"/>
        <v>0</v>
      </c>
      <c r="I289">
        <f t="shared" si="43"/>
        <v>0</v>
      </c>
      <c r="J289">
        <v>0</v>
      </c>
      <c r="K289">
        <v>2.7</v>
      </c>
      <c r="L289">
        <v>7</v>
      </c>
      <c r="M289">
        <v>3.3</v>
      </c>
      <c r="N289">
        <v>8.1999999999999993</v>
      </c>
      <c r="O289" s="1">
        <f>((INT(N289)-INT(L289))*3)-(((L289-INT(L289))*10) - ((N289-INT(N289))*10))</f>
        <v>4.9999999999999929</v>
      </c>
      <c r="P289">
        <f t="shared" si="44"/>
        <v>0</v>
      </c>
      <c r="Q289">
        <f t="shared" si="45"/>
        <v>1</v>
      </c>
      <c r="R289">
        <f t="shared" si="46"/>
        <v>0</v>
      </c>
    </row>
    <row r="290" spans="1:18" x14ac:dyDescent="0.2">
      <c r="A290">
        <v>55726</v>
      </c>
      <c r="B290">
        <v>0</v>
      </c>
      <c r="C290">
        <f t="shared" si="38"/>
        <v>0</v>
      </c>
      <c r="D290">
        <f t="shared" si="39"/>
        <v>1</v>
      </c>
      <c r="E290">
        <v>3</v>
      </c>
      <c r="F290">
        <f t="shared" si="40"/>
        <v>0</v>
      </c>
      <c r="G290">
        <f t="shared" si="41"/>
        <v>0</v>
      </c>
      <c r="H290">
        <f t="shared" si="42"/>
        <v>1</v>
      </c>
      <c r="I290">
        <f t="shared" si="43"/>
        <v>0</v>
      </c>
      <c r="J290">
        <v>0</v>
      </c>
      <c r="K290">
        <v>3.3</v>
      </c>
      <c r="L290">
        <v>8.1999999999999993</v>
      </c>
      <c r="M290">
        <v>3.3</v>
      </c>
      <c r="N290">
        <v>10.199999999999999</v>
      </c>
      <c r="O290" s="1">
        <f>((INT(N290)-INT(L290))*3)-(((L290-INT(L290))*10) - ((N290-INT(N290))*10))</f>
        <v>6</v>
      </c>
      <c r="P290">
        <f t="shared" si="44"/>
        <v>0</v>
      </c>
      <c r="Q290">
        <f t="shared" si="45"/>
        <v>0</v>
      </c>
      <c r="R290">
        <f t="shared" si="46"/>
        <v>1</v>
      </c>
    </row>
    <row r="291" spans="1:18" x14ac:dyDescent="0.2">
      <c r="A291">
        <v>55939</v>
      </c>
      <c r="B291">
        <v>0</v>
      </c>
      <c r="C291">
        <f t="shared" si="38"/>
        <v>0</v>
      </c>
      <c r="D291">
        <f t="shared" si="39"/>
        <v>1</v>
      </c>
      <c r="E291">
        <v>3</v>
      </c>
      <c r="F291">
        <f t="shared" si="40"/>
        <v>0</v>
      </c>
      <c r="G291">
        <f t="shared" si="41"/>
        <v>0</v>
      </c>
      <c r="H291">
        <f t="shared" si="42"/>
        <v>1</v>
      </c>
      <c r="I291">
        <f t="shared" si="43"/>
        <v>0</v>
      </c>
      <c r="J291">
        <v>1</v>
      </c>
      <c r="K291">
        <v>2</v>
      </c>
      <c r="L291">
        <v>1.1000000000000001</v>
      </c>
      <c r="M291">
        <v>2</v>
      </c>
      <c r="N291">
        <v>3</v>
      </c>
      <c r="O291" s="1">
        <f>((INT(N291)-INT(L291))*3)-(((L291-INT(L291))*10) - ((N291-INT(N291))*10))</f>
        <v>4.9999999999999991</v>
      </c>
      <c r="P291">
        <f t="shared" si="44"/>
        <v>0</v>
      </c>
      <c r="Q291">
        <f t="shared" si="45"/>
        <v>1</v>
      </c>
      <c r="R291">
        <f t="shared" si="46"/>
        <v>0</v>
      </c>
    </row>
    <row r="292" spans="1:18" x14ac:dyDescent="0.2">
      <c r="A292">
        <v>56362</v>
      </c>
      <c r="B292">
        <v>0</v>
      </c>
      <c r="C292">
        <f t="shared" si="38"/>
        <v>0</v>
      </c>
      <c r="D292">
        <f t="shared" si="39"/>
        <v>1</v>
      </c>
      <c r="E292">
        <v>2</v>
      </c>
      <c r="F292">
        <f t="shared" si="40"/>
        <v>0</v>
      </c>
      <c r="G292">
        <f t="shared" si="41"/>
        <v>1</v>
      </c>
      <c r="H292">
        <f t="shared" si="42"/>
        <v>0</v>
      </c>
      <c r="I292">
        <f t="shared" si="43"/>
        <v>0</v>
      </c>
      <c r="J292">
        <v>0</v>
      </c>
      <c r="K292">
        <v>3</v>
      </c>
      <c r="L292">
        <v>5.2</v>
      </c>
      <c r="M292">
        <v>2.2999999999999998</v>
      </c>
      <c r="N292">
        <v>7</v>
      </c>
      <c r="O292" s="1">
        <f>((INT(N292)-INT(L292))*3)-(((L292-INT(L292))*10) - ((N292-INT(N292))*10))</f>
        <v>3.9999999999999982</v>
      </c>
      <c r="P292">
        <f t="shared" si="44"/>
        <v>0</v>
      </c>
      <c r="Q292">
        <f t="shared" si="45"/>
        <v>1</v>
      </c>
      <c r="R292">
        <f t="shared" si="46"/>
        <v>0</v>
      </c>
    </row>
    <row r="293" spans="1:18" x14ac:dyDescent="0.2">
      <c r="A293">
        <v>56420</v>
      </c>
      <c r="B293">
        <v>0</v>
      </c>
      <c r="C293">
        <f t="shared" si="38"/>
        <v>0</v>
      </c>
      <c r="D293">
        <f t="shared" si="39"/>
        <v>1</v>
      </c>
      <c r="E293">
        <v>1</v>
      </c>
      <c r="F293">
        <f t="shared" si="40"/>
        <v>1</v>
      </c>
      <c r="G293">
        <f t="shared" si="41"/>
        <v>0</v>
      </c>
      <c r="H293">
        <f t="shared" si="42"/>
        <v>0</v>
      </c>
      <c r="I293">
        <f t="shared" si="43"/>
        <v>0</v>
      </c>
      <c r="J293">
        <v>0</v>
      </c>
      <c r="K293">
        <v>2.2999999999999998</v>
      </c>
      <c r="L293">
        <v>9</v>
      </c>
      <c r="M293">
        <v>2.2999999999999998</v>
      </c>
      <c r="N293">
        <v>11.2</v>
      </c>
      <c r="O293" s="1">
        <f>((INT(N293)-INT(L293))*3)-(((L293-INT(L293))*10) - ((N293-INT(N293))*10))</f>
        <v>7.9999999999999929</v>
      </c>
      <c r="P293">
        <f t="shared" si="44"/>
        <v>0</v>
      </c>
      <c r="Q293">
        <f t="shared" si="45"/>
        <v>0</v>
      </c>
      <c r="R293">
        <f t="shared" si="46"/>
        <v>1</v>
      </c>
    </row>
    <row r="294" spans="1:18" x14ac:dyDescent="0.2">
      <c r="A294">
        <v>56501</v>
      </c>
      <c r="B294">
        <v>0</v>
      </c>
      <c r="C294">
        <f t="shared" si="38"/>
        <v>0</v>
      </c>
      <c r="D294">
        <f t="shared" si="39"/>
        <v>1</v>
      </c>
      <c r="E294">
        <v>1</v>
      </c>
      <c r="F294">
        <f t="shared" si="40"/>
        <v>1</v>
      </c>
      <c r="G294">
        <f t="shared" si="41"/>
        <v>0</v>
      </c>
      <c r="H294">
        <f t="shared" si="42"/>
        <v>0</v>
      </c>
      <c r="I294">
        <f t="shared" si="43"/>
        <v>0</v>
      </c>
      <c r="J294">
        <v>1</v>
      </c>
      <c r="K294">
        <v>2.2999999999999998</v>
      </c>
      <c r="L294">
        <v>9.1999999999999993</v>
      </c>
      <c r="M294">
        <v>2.2999999999999998</v>
      </c>
      <c r="N294">
        <v>11</v>
      </c>
      <c r="O294" s="1">
        <f>((INT(N294)-INT(L294))*3)-(((L294-INT(L294))*10) - ((N294-INT(N294))*10))</f>
        <v>4.0000000000000071</v>
      </c>
      <c r="P294">
        <f t="shared" si="44"/>
        <v>0</v>
      </c>
      <c r="Q294">
        <f t="shared" si="45"/>
        <v>1</v>
      </c>
      <c r="R294">
        <f t="shared" si="46"/>
        <v>0</v>
      </c>
    </row>
    <row r="295" spans="1:18" x14ac:dyDescent="0.2">
      <c r="A295">
        <v>57044</v>
      </c>
      <c r="B295">
        <v>0</v>
      </c>
      <c r="C295">
        <f t="shared" si="38"/>
        <v>0</v>
      </c>
      <c r="D295">
        <f t="shared" si="39"/>
        <v>1</v>
      </c>
      <c r="E295">
        <v>4</v>
      </c>
      <c r="F295">
        <f t="shared" si="40"/>
        <v>0</v>
      </c>
      <c r="G295">
        <f t="shared" si="41"/>
        <v>0</v>
      </c>
      <c r="H295">
        <f t="shared" si="42"/>
        <v>0</v>
      </c>
      <c r="I295">
        <f t="shared" si="43"/>
        <v>1</v>
      </c>
      <c r="J295">
        <v>0</v>
      </c>
      <c r="K295">
        <v>2.2999999999999998</v>
      </c>
      <c r="L295">
        <v>10</v>
      </c>
      <c r="M295">
        <v>4</v>
      </c>
      <c r="N295">
        <v>11.2</v>
      </c>
      <c r="O295" s="1">
        <f>((INT(N295)-INT(L295))*3)-(((L295-INT(L295))*10) - ((N295-INT(N295))*10))</f>
        <v>4.9999999999999929</v>
      </c>
      <c r="P295">
        <f t="shared" si="44"/>
        <v>0</v>
      </c>
      <c r="Q295">
        <f t="shared" si="45"/>
        <v>1</v>
      </c>
      <c r="R295">
        <f t="shared" si="46"/>
        <v>0</v>
      </c>
    </row>
    <row r="296" spans="1:18" x14ac:dyDescent="0.2">
      <c r="A296">
        <v>57061</v>
      </c>
      <c r="B296">
        <v>0</v>
      </c>
      <c r="C296">
        <f t="shared" si="38"/>
        <v>0</v>
      </c>
      <c r="D296">
        <f t="shared" si="39"/>
        <v>1</v>
      </c>
      <c r="E296">
        <v>4</v>
      </c>
      <c r="F296">
        <f t="shared" si="40"/>
        <v>0</v>
      </c>
      <c r="G296">
        <f t="shared" si="41"/>
        <v>0</v>
      </c>
      <c r="H296">
        <f t="shared" si="42"/>
        <v>0</v>
      </c>
      <c r="I296">
        <f t="shared" si="43"/>
        <v>1</v>
      </c>
      <c r="J296">
        <v>1</v>
      </c>
      <c r="K296">
        <v>2.7</v>
      </c>
      <c r="L296">
        <v>3</v>
      </c>
      <c r="M296">
        <v>2.7</v>
      </c>
      <c r="N296">
        <v>5.0999999999999996</v>
      </c>
      <c r="O296" s="1">
        <f>((INT(N296)-INT(L296))*3)-(((L296-INT(L296))*10) - ((N296-INT(N296))*10))</f>
        <v>6.9999999999999964</v>
      </c>
      <c r="P296">
        <f t="shared" si="44"/>
        <v>0</v>
      </c>
      <c r="Q296">
        <f t="shared" si="45"/>
        <v>0</v>
      </c>
      <c r="R296">
        <f t="shared" si="46"/>
        <v>1</v>
      </c>
    </row>
    <row r="297" spans="1:18" x14ac:dyDescent="0.2">
      <c r="A297">
        <v>57103</v>
      </c>
      <c r="B297">
        <v>0</v>
      </c>
      <c r="C297">
        <f t="shared" si="38"/>
        <v>0</v>
      </c>
      <c r="D297">
        <f t="shared" si="39"/>
        <v>1</v>
      </c>
      <c r="E297">
        <v>1</v>
      </c>
      <c r="F297">
        <f t="shared" si="40"/>
        <v>1</v>
      </c>
      <c r="G297">
        <f t="shared" si="41"/>
        <v>0</v>
      </c>
      <c r="H297">
        <f t="shared" si="42"/>
        <v>0</v>
      </c>
      <c r="I297">
        <f t="shared" si="43"/>
        <v>0</v>
      </c>
      <c r="J297">
        <v>0</v>
      </c>
      <c r="K297">
        <v>3.7</v>
      </c>
      <c r="L297">
        <v>10.199999999999999</v>
      </c>
      <c r="M297">
        <v>4</v>
      </c>
      <c r="N297">
        <v>11.2</v>
      </c>
      <c r="O297" s="1">
        <f>((INT(N297)-INT(L297))*3)-(((L297-INT(L297))*10) - ((N297-INT(N297))*10))</f>
        <v>3</v>
      </c>
      <c r="P297">
        <f t="shared" si="44"/>
        <v>1</v>
      </c>
      <c r="Q297">
        <f t="shared" si="45"/>
        <v>0</v>
      </c>
      <c r="R297">
        <f t="shared" si="46"/>
        <v>0</v>
      </c>
    </row>
    <row r="298" spans="1:18" x14ac:dyDescent="0.2">
      <c r="A298">
        <v>57179</v>
      </c>
      <c r="B298">
        <v>0</v>
      </c>
      <c r="C298">
        <f t="shared" si="38"/>
        <v>0</v>
      </c>
      <c r="D298">
        <f t="shared" si="39"/>
        <v>1</v>
      </c>
      <c r="E298">
        <v>1</v>
      </c>
      <c r="F298">
        <f t="shared" si="40"/>
        <v>1</v>
      </c>
      <c r="G298">
        <f t="shared" si="41"/>
        <v>0</v>
      </c>
      <c r="H298">
        <f t="shared" si="42"/>
        <v>0</v>
      </c>
      <c r="I298">
        <f t="shared" si="43"/>
        <v>0</v>
      </c>
      <c r="J298">
        <v>0</v>
      </c>
      <c r="K298">
        <v>2</v>
      </c>
      <c r="L298">
        <v>9.1999999999999993</v>
      </c>
      <c r="M298">
        <v>2.7</v>
      </c>
      <c r="N298">
        <v>11</v>
      </c>
      <c r="O298" s="1">
        <f>((INT(N298)-INT(L298))*3)-(((L298-INT(L298))*10) - ((N298-INT(N298))*10))</f>
        <v>4.0000000000000071</v>
      </c>
      <c r="P298">
        <f t="shared" si="44"/>
        <v>0</v>
      </c>
      <c r="Q298">
        <f t="shared" si="45"/>
        <v>1</v>
      </c>
      <c r="R298">
        <f t="shared" si="46"/>
        <v>0</v>
      </c>
    </row>
    <row r="299" spans="1:18" x14ac:dyDescent="0.2">
      <c r="A299">
        <v>57727</v>
      </c>
      <c r="B299">
        <v>0</v>
      </c>
      <c r="C299">
        <f t="shared" si="38"/>
        <v>0</v>
      </c>
      <c r="D299">
        <f t="shared" si="39"/>
        <v>1</v>
      </c>
      <c r="E299">
        <v>1</v>
      </c>
      <c r="F299">
        <f t="shared" si="40"/>
        <v>1</v>
      </c>
      <c r="G299">
        <f t="shared" si="41"/>
        <v>0</v>
      </c>
      <c r="H299">
        <f t="shared" si="42"/>
        <v>0</v>
      </c>
      <c r="I299">
        <f t="shared" si="43"/>
        <v>0</v>
      </c>
      <c r="J299">
        <v>0</v>
      </c>
      <c r="K299">
        <v>2.7</v>
      </c>
      <c r="L299">
        <v>9.1999999999999993</v>
      </c>
      <c r="M299">
        <v>2</v>
      </c>
      <c r="N299">
        <v>11</v>
      </c>
      <c r="O299" s="1">
        <f>((INT(N299)-INT(L299))*3)-(((L299-INT(L299))*10) - ((N299-INT(N299))*10))</f>
        <v>4.0000000000000071</v>
      </c>
      <c r="P299">
        <f t="shared" si="44"/>
        <v>0</v>
      </c>
      <c r="Q299">
        <f t="shared" si="45"/>
        <v>1</v>
      </c>
      <c r="R299">
        <f t="shared" si="46"/>
        <v>0</v>
      </c>
    </row>
    <row r="300" spans="1:18" x14ac:dyDescent="0.2">
      <c r="A300">
        <v>57734</v>
      </c>
      <c r="B300">
        <v>0</v>
      </c>
      <c r="C300">
        <f t="shared" si="38"/>
        <v>0</v>
      </c>
      <c r="D300">
        <f t="shared" si="39"/>
        <v>1</v>
      </c>
      <c r="E300">
        <v>4</v>
      </c>
      <c r="F300">
        <f t="shared" si="40"/>
        <v>0</v>
      </c>
      <c r="G300">
        <f t="shared" si="41"/>
        <v>0</v>
      </c>
      <c r="H300">
        <f t="shared" si="42"/>
        <v>0</v>
      </c>
      <c r="I300">
        <f t="shared" si="43"/>
        <v>1</v>
      </c>
      <c r="J300">
        <v>1</v>
      </c>
      <c r="K300">
        <v>3.3</v>
      </c>
      <c r="L300">
        <v>10.199999999999999</v>
      </c>
      <c r="M300">
        <v>3.3</v>
      </c>
      <c r="N300">
        <v>12</v>
      </c>
      <c r="O300" s="1">
        <f>((INT(N300)-INT(L300))*3)-(((L300-INT(L300))*10) - ((N300-INT(N300))*10))</f>
        <v>4.0000000000000071</v>
      </c>
      <c r="P300">
        <f t="shared" si="44"/>
        <v>0</v>
      </c>
      <c r="Q300">
        <f t="shared" si="45"/>
        <v>1</v>
      </c>
      <c r="R300">
        <f t="shared" si="46"/>
        <v>0</v>
      </c>
    </row>
    <row r="301" spans="1:18" x14ac:dyDescent="0.2">
      <c r="A301">
        <v>57857</v>
      </c>
      <c r="B301">
        <v>0</v>
      </c>
      <c r="C301">
        <f t="shared" si="38"/>
        <v>0</v>
      </c>
      <c r="D301">
        <f t="shared" si="39"/>
        <v>1</v>
      </c>
      <c r="E301">
        <v>1</v>
      </c>
      <c r="F301">
        <f t="shared" si="40"/>
        <v>1</v>
      </c>
      <c r="G301">
        <f t="shared" si="41"/>
        <v>0</v>
      </c>
      <c r="H301">
        <f t="shared" si="42"/>
        <v>0</v>
      </c>
      <c r="I301">
        <f t="shared" si="43"/>
        <v>0</v>
      </c>
      <c r="J301">
        <v>0</v>
      </c>
      <c r="K301">
        <v>3</v>
      </c>
      <c r="L301">
        <v>8</v>
      </c>
      <c r="M301">
        <v>3.3</v>
      </c>
      <c r="N301">
        <v>10</v>
      </c>
      <c r="O301" s="1">
        <f>((INT(N301)-INT(L301))*3)-(((L301-INT(L301))*10) - ((N301-INT(N301))*10))</f>
        <v>6</v>
      </c>
      <c r="P301">
        <f t="shared" si="44"/>
        <v>0</v>
      </c>
      <c r="Q301">
        <f t="shared" si="45"/>
        <v>0</v>
      </c>
      <c r="R301">
        <f t="shared" si="46"/>
        <v>1</v>
      </c>
    </row>
    <row r="302" spans="1:18" x14ac:dyDescent="0.2">
      <c r="A302">
        <v>58047</v>
      </c>
      <c r="B302">
        <v>0</v>
      </c>
      <c r="C302">
        <f t="shared" si="38"/>
        <v>0</v>
      </c>
      <c r="D302">
        <f t="shared" si="39"/>
        <v>1</v>
      </c>
      <c r="E302">
        <v>1</v>
      </c>
      <c r="F302">
        <f t="shared" si="40"/>
        <v>1</v>
      </c>
      <c r="G302">
        <f t="shared" si="41"/>
        <v>0</v>
      </c>
      <c r="H302">
        <f t="shared" si="42"/>
        <v>0</v>
      </c>
      <c r="I302">
        <f t="shared" si="43"/>
        <v>0</v>
      </c>
      <c r="J302">
        <v>0</v>
      </c>
      <c r="K302">
        <v>3.7</v>
      </c>
      <c r="L302">
        <v>9.1999999999999993</v>
      </c>
      <c r="M302">
        <v>2</v>
      </c>
      <c r="N302">
        <v>11</v>
      </c>
      <c r="O302" s="1">
        <f>((INT(N302)-INT(L302))*3)-(((L302-INT(L302))*10) - ((N302-INT(N302))*10))</f>
        <v>4.0000000000000071</v>
      </c>
      <c r="P302">
        <f t="shared" si="44"/>
        <v>0</v>
      </c>
      <c r="Q302">
        <f t="shared" si="45"/>
        <v>1</v>
      </c>
      <c r="R302">
        <f t="shared" si="46"/>
        <v>0</v>
      </c>
    </row>
    <row r="303" spans="1:18" x14ac:dyDescent="0.2">
      <c r="A303">
        <v>58511</v>
      </c>
      <c r="B303">
        <v>0</v>
      </c>
      <c r="C303">
        <f t="shared" si="38"/>
        <v>0</v>
      </c>
      <c r="D303">
        <f t="shared" si="39"/>
        <v>1</v>
      </c>
      <c r="E303">
        <v>4</v>
      </c>
      <c r="F303">
        <f t="shared" si="40"/>
        <v>0</v>
      </c>
      <c r="G303">
        <f t="shared" si="41"/>
        <v>0</v>
      </c>
      <c r="H303">
        <f t="shared" si="42"/>
        <v>0</v>
      </c>
      <c r="I303">
        <f t="shared" si="43"/>
        <v>1</v>
      </c>
      <c r="J303">
        <v>0</v>
      </c>
      <c r="K303">
        <v>3.3</v>
      </c>
      <c r="L303">
        <v>2</v>
      </c>
      <c r="M303">
        <v>2</v>
      </c>
      <c r="N303">
        <v>4.0999999999999996</v>
      </c>
      <c r="O303" s="1">
        <f>((INT(N303)-INT(L303))*3)-(((L303-INT(L303))*10) - ((N303-INT(N303))*10))</f>
        <v>6.9999999999999964</v>
      </c>
      <c r="P303">
        <f t="shared" si="44"/>
        <v>0</v>
      </c>
      <c r="Q303">
        <f t="shared" si="45"/>
        <v>0</v>
      </c>
      <c r="R303">
        <f t="shared" si="46"/>
        <v>1</v>
      </c>
    </row>
    <row r="304" spans="1:18" x14ac:dyDescent="0.2">
      <c r="A304">
        <v>59017</v>
      </c>
      <c r="B304">
        <v>0</v>
      </c>
      <c r="C304">
        <f t="shared" si="38"/>
        <v>0</v>
      </c>
      <c r="D304">
        <f t="shared" si="39"/>
        <v>1</v>
      </c>
      <c r="E304">
        <v>1</v>
      </c>
      <c r="F304">
        <f t="shared" si="40"/>
        <v>1</v>
      </c>
      <c r="G304">
        <f t="shared" si="41"/>
        <v>0</v>
      </c>
      <c r="H304">
        <f t="shared" si="42"/>
        <v>0</v>
      </c>
      <c r="I304">
        <f t="shared" si="43"/>
        <v>0</v>
      </c>
      <c r="J304">
        <v>0</v>
      </c>
      <c r="K304">
        <v>3</v>
      </c>
      <c r="L304">
        <v>8</v>
      </c>
      <c r="M304">
        <v>3.7</v>
      </c>
      <c r="N304">
        <v>9.1</v>
      </c>
      <c r="O304" s="1">
        <f>((INT(N304)-INT(L304))*3)-(((L304-INT(L304))*10) - ((N304-INT(N304))*10))</f>
        <v>3.9999999999999964</v>
      </c>
      <c r="P304">
        <f t="shared" si="44"/>
        <v>0</v>
      </c>
      <c r="Q304">
        <f t="shared" si="45"/>
        <v>1</v>
      </c>
      <c r="R304">
        <f t="shared" si="46"/>
        <v>0</v>
      </c>
    </row>
    <row r="305" spans="1:18" x14ac:dyDescent="0.2">
      <c r="A305">
        <v>59799</v>
      </c>
      <c r="B305">
        <v>0</v>
      </c>
      <c r="C305">
        <f t="shared" si="38"/>
        <v>0</v>
      </c>
      <c r="D305">
        <f t="shared" si="39"/>
        <v>1</v>
      </c>
      <c r="E305">
        <v>1</v>
      </c>
      <c r="F305">
        <f t="shared" si="40"/>
        <v>1</v>
      </c>
      <c r="G305">
        <f t="shared" si="41"/>
        <v>0</v>
      </c>
      <c r="H305">
        <f t="shared" si="42"/>
        <v>0</v>
      </c>
      <c r="I305">
        <f t="shared" si="43"/>
        <v>0</v>
      </c>
      <c r="J305">
        <v>1</v>
      </c>
      <c r="K305">
        <v>4.3</v>
      </c>
      <c r="L305">
        <v>9.1999999999999993</v>
      </c>
      <c r="M305">
        <v>4.3</v>
      </c>
      <c r="N305">
        <v>11</v>
      </c>
      <c r="O305" s="1">
        <f>((INT(N305)-INT(L305))*3)-(((L305-INT(L305))*10) - ((N305-INT(N305))*10))</f>
        <v>4.0000000000000071</v>
      </c>
      <c r="P305">
        <f t="shared" si="44"/>
        <v>0</v>
      </c>
      <c r="Q305">
        <f t="shared" si="45"/>
        <v>1</v>
      </c>
      <c r="R305">
        <f t="shared" si="46"/>
        <v>0</v>
      </c>
    </row>
    <row r="306" spans="1:18" x14ac:dyDescent="0.2">
      <c r="A306">
        <v>59926</v>
      </c>
      <c r="B306">
        <v>0</v>
      </c>
      <c r="C306">
        <f t="shared" si="38"/>
        <v>0</v>
      </c>
      <c r="D306">
        <f t="shared" si="39"/>
        <v>1</v>
      </c>
      <c r="E306">
        <v>3</v>
      </c>
      <c r="F306">
        <f t="shared" si="40"/>
        <v>0</v>
      </c>
      <c r="G306">
        <f t="shared" si="41"/>
        <v>0</v>
      </c>
      <c r="H306">
        <f t="shared" si="42"/>
        <v>1</v>
      </c>
      <c r="I306">
        <f t="shared" si="43"/>
        <v>0</v>
      </c>
      <c r="J306">
        <v>0</v>
      </c>
      <c r="K306">
        <v>2.7</v>
      </c>
      <c r="L306">
        <v>10.199999999999999</v>
      </c>
      <c r="M306">
        <v>2.2999999999999998</v>
      </c>
      <c r="N306">
        <v>12</v>
      </c>
      <c r="O306" s="1">
        <f>((INT(N306)-INT(L306))*3)-(((L306-INT(L306))*10) - ((N306-INT(N306))*10))</f>
        <v>4.0000000000000071</v>
      </c>
      <c r="P306">
        <f t="shared" si="44"/>
        <v>0</v>
      </c>
      <c r="Q306">
        <f t="shared" si="45"/>
        <v>1</v>
      </c>
      <c r="R306">
        <f t="shared" si="46"/>
        <v>0</v>
      </c>
    </row>
    <row r="307" spans="1:18" x14ac:dyDescent="0.2">
      <c r="A307">
        <v>59938</v>
      </c>
      <c r="B307">
        <v>0</v>
      </c>
      <c r="C307">
        <f t="shared" si="38"/>
        <v>0</v>
      </c>
      <c r="D307">
        <f t="shared" si="39"/>
        <v>1</v>
      </c>
      <c r="E307">
        <v>2</v>
      </c>
      <c r="F307">
        <f t="shared" si="40"/>
        <v>0</v>
      </c>
      <c r="G307">
        <f t="shared" si="41"/>
        <v>1</v>
      </c>
      <c r="H307">
        <f t="shared" si="42"/>
        <v>0</v>
      </c>
      <c r="I307">
        <f t="shared" si="43"/>
        <v>0</v>
      </c>
      <c r="J307">
        <v>0</v>
      </c>
      <c r="K307">
        <v>4</v>
      </c>
      <c r="L307">
        <v>9</v>
      </c>
      <c r="M307">
        <v>3</v>
      </c>
      <c r="N307">
        <v>10</v>
      </c>
      <c r="O307" s="1">
        <f>((INT(N307)-INT(L307))*3)-(((L307-INT(L307))*10) - ((N307-INT(N307))*10))</f>
        <v>3</v>
      </c>
      <c r="P307">
        <f t="shared" si="44"/>
        <v>1</v>
      </c>
      <c r="Q307">
        <f t="shared" si="45"/>
        <v>0</v>
      </c>
      <c r="R307">
        <f t="shared" si="46"/>
        <v>0</v>
      </c>
    </row>
    <row r="308" spans="1:18" x14ac:dyDescent="0.2">
      <c r="A308">
        <v>60055</v>
      </c>
      <c r="B308">
        <v>0</v>
      </c>
      <c r="C308">
        <f t="shared" si="38"/>
        <v>0</v>
      </c>
      <c r="D308">
        <f t="shared" si="39"/>
        <v>1</v>
      </c>
      <c r="E308">
        <v>4</v>
      </c>
      <c r="F308">
        <f t="shared" si="40"/>
        <v>0</v>
      </c>
      <c r="G308">
        <f t="shared" si="41"/>
        <v>0</v>
      </c>
      <c r="H308">
        <f t="shared" si="42"/>
        <v>0</v>
      </c>
      <c r="I308">
        <f t="shared" si="43"/>
        <v>1</v>
      </c>
      <c r="J308">
        <v>0</v>
      </c>
      <c r="K308">
        <v>3</v>
      </c>
      <c r="L308">
        <v>4.2</v>
      </c>
      <c r="M308">
        <v>3.3</v>
      </c>
      <c r="N308">
        <v>6.1</v>
      </c>
      <c r="O308" s="1">
        <f>((INT(N308)-INT(L308))*3)-(((L308-INT(L308))*10) - ((N308-INT(N308))*10))</f>
        <v>4.9999999999999947</v>
      </c>
      <c r="P308">
        <f t="shared" si="44"/>
        <v>0</v>
      </c>
      <c r="Q308">
        <f t="shared" si="45"/>
        <v>1</v>
      </c>
      <c r="R308">
        <f t="shared" si="46"/>
        <v>0</v>
      </c>
    </row>
    <row r="309" spans="1:18" x14ac:dyDescent="0.2">
      <c r="A309">
        <v>61132</v>
      </c>
      <c r="B309">
        <v>0</v>
      </c>
      <c r="C309">
        <f t="shared" si="38"/>
        <v>0</v>
      </c>
      <c r="D309">
        <f t="shared" si="39"/>
        <v>1</v>
      </c>
      <c r="E309">
        <v>1</v>
      </c>
      <c r="F309">
        <f t="shared" si="40"/>
        <v>1</v>
      </c>
      <c r="G309">
        <f t="shared" si="41"/>
        <v>0</v>
      </c>
      <c r="H309">
        <f t="shared" si="42"/>
        <v>0</v>
      </c>
      <c r="I309">
        <f t="shared" si="43"/>
        <v>0</v>
      </c>
      <c r="J309">
        <v>1</v>
      </c>
      <c r="K309">
        <v>2</v>
      </c>
      <c r="L309">
        <v>1.2</v>
      </c>
      <c r="M309">
        <v>2.2999999999999998</v>
      </c>
      <c r="N309">
        <v>4</v>
      </c>
      <c r="O309" s="1">
        <f>((INT(N309)-INT(L309))*3)-(((L309-INT(L309))*10) - ((N309-INT(N309))*10))</f>
        <v>7</v>
      </c>
      <c r="P309">
        <f t="shared" si="44"/>
        <v>0</v>
      </c>
      <c r="Q309">
        <f t="shared" si="45"/>
        <v>0</v>
      </c>
      <c r="R309">
        <f t="shared" si="46"/>
        <v>1</v>
      </c>
    </row>
    <row r="310" spans="1:18" x14ac:dyDescent="0.2">
      <c r="A310">
        <v>61551</v>
      </c>
      <c r="B310">
        <v>0</v>
      </c>
      <c r="C310">
        <f t="shared" si="38"/>
        <v>0</v>
      </c>
      <c r="D310">
        <f t="shared" si="39"/>
        <v>1</v>
      </c>
      <c r="E310">
        <v>3</v>
      </c>
      <c r="F310">
        <f t="shared" si="40"/>
        <v>0</v>
      </c>
      <c r="G310">
        <f t="shared" si="41"/>
        <v>0</v>
      </c>
      <c r="H310">
        <f t="shared" si="42"/>
        <v>1</v>
      </c>
      <c r="I310">
        <f t="shared" si="43"/>
        <v>0</v>
      </c>
      <c r="J310">
        <v>0</v>
      </c>
      <c r="K310">
        <v>4</v>
      </c>
      <c r="L310">
        <v>3.2</v>
      </c>
      <c r="M310">
        <v>3.3</v>
      </c>
      <c r="N310">
        <v>6.1</v>
      </c>
      <c r="O310" s="1">
        <f>((INT(N310)-INT(L310))*3)-(((L310-INT(L310))*10) - ((N310-INT(N310))*10))</f>
        <v>7.9999999999999947</v>
      </c>
      <c r="P310">
        <f t="shared" si="44"/>
        <v>0</v>
      </c>
      <c r="Q310">
        <f t="shared" si="45"/>
        <v>0</v>
      </c>
      <c r="R310">
        <f t="shared" si="46"/>
        <v>1</v>
      </c>
    </row>
    <row r="311" spans="1:18" x14ac:dyDescent="0.2">
      <c r="A311">
        <v>61617</v>
      </c>
      <c r="B311">
        <v>1</v>
      </c>
      <c r="C311">
        <f t="shared" si="38"/>
        <v>1</v>
      </c>
      <c r="D311">
        <f t="shared" si="39"/>
        <v>0</v>
      </c>
      <c r="E311">
        <v>2</v>
      </c>
      <c r="F311">
        <f t="shared" si="40"/>
        <v>0</v>
      </c>
      <c r="G311">
        <f t="shared" si="41"/>
        <v>1</v>
      </c>
      <c r="H311">
        <f t="shared" si="42"/>
        <v>0</v>
      </c>
      <c r="I311">
        <f t="shared" si="43"/>
        <v>0</v>
      </c>
      <c r="J311">
        <v>0</v>
      </c>
      <c r="K311">
        <v>3</v>
      </c>
      <c r="L311">
        <v>3.2</v>
      </c>
      <c r="M311">
        <v>3.3</v>
      </c>
      <c r="N311">
        <v>5</v>
      </c>
      <c r="O311" s="1">
        <f>((INT(N311)-INT(L311))*3)-(((L311-INT(L311))*10) - ((N311-INT(N311))*10))</f>
        <v>3.9999999999999982</v>
      </c>
      <c r="P311">
        <f t="shared" si="44"/>
        <v>0</v>
      </c>
      <c r="Q311">
        <f t="shared" si="45"/>
        <v>1</v>
      </c>
      <c r="R311">
        <f t="shared" si="46"/>
        <v>0</v>
      </c>
    </row>
    <row r="312" spans="1:18" x14ac:dyDescent="0.2">
      <c r="A312">
        <v>61786</v>
      </c>
      <c r="B312">
        <v>0</v>
      </c>
      <c r="C312">
        <f t="shared" si="38"/>
        <v>0</v>
      </c>
      <c r="D312">
        <f t="shared" si="39"/>
        <v>1</v>
      </c>
      <c r="E312">
        <v>1</v>
      </c>
      <c r="F312">
        <f t="shared" si="40"/>
        <v>1</v>
      </c>
      <c r="G312">
        <f t="shared" si="41"/>
        <v>0</v>
      </c>
      <c r="H312">
        <f t="shared" si="42"/>
        <v>0</v>
      </c>
      <c r="I312">
        <f t="shared" si="43"/>
        <v>0</v>
      </c>
      <c r="J312">
        <v>1</v>
      </c>
      <c r="K312">
        <v>3</v>
      </c>
      <c r="L312">
        <v>9.1999999999999993</v>
      </c>
      <c r="M312">
        <v>3.7</v>
      </c>
      <c r="N312">
        <v>11</v>
      </c>
      <c r="O312" s="1">
        <f>((INT(N312)-INT(L312))*3)-(((L312-INT(L312))*10) - ((N312-INT(N312))*10))</f>
        <v>4.0000000000000071</v>
      </c>
      <c r="P312">
        <f t="shared" si="44"/>
        <v>0</v>
      </c>
      <c r="Q312">
        <f t="shared" si="45"/>
        <v>1</v>
      </c>
      <c r="R312">
        <f t="shared" si="46"/>
        <v>0</v>
      </c>
    </row>
    <row r="313" spans="1:18" x14ac:dyDescent="0.2">
      <c r="A313">
        <v>61819</v>
      </c>
      <c r="B313">
        <v>0</v>
      </c>
      <c r="C313">
        <f t="shared" si="38"/>
        <v>0</v>
      </c>
      <c r="D313">
        <f t="shared" si="39"/>
        <v>1</v>
      </c>
      <c r="E313">
        <v>1</v>
      </c>
      <c r="F313">
        <f t="shared" si="40"/>
        <v>1</v>
      </c>
      <c r="G313">
        <f t="shared" si="41"/>
        <v>0</v>
      </c>
      <c r="H313">
        <f t="shared" si="42"/>
        <v>0</v>
      </c>
      <c r="I313">
        <f t="shared" si="43"/>
        <v>0</v>
      </c>
      <c r="J313">
        <v>1</v>
      </c>
      <c r="K313">
        <v>4.3</v>
      </c>
      <c r="L313">
        <v>11</v>
      </c>
      <c r="M313">
        <v>3.3</v>
      </c>
      <c r="N313">
        <v>12</v>
      </c>
      <c r="O313" s="1">
        <f>((INT(N313)-INT(L313))*3)-(((L313-INT(L313))*10) - ((N313-INT(N313))*10))</f>
        <v>3</v>
      </c>
      <c r="P313">
        <f t="shared" si="44"/>
        <v>1</v>
      </c>
      <c r="Q313">
        <f t="shared" si="45"/>
        <v>0</v>
      </c>
      <c r="R313">
        <f t="shared" si="46"/>
        <v>0</v>
      </c>
    </row>
    <row r="314" spans="1:18" x14ac:dyDescent="0.2">
      <c r="A314">
        <v>61999</v>
      </c>
      <c r="B314">
        <v>0</v>
      </c>
      <c r="C314">
        <f t="shared" si="38"/>
        <v>0</v>
      </c>
      <c r="D314">
        <f t="shared" si="39"/>
        <v>1</v>
      </c>
      <c r="E314">
        <v>1</v>
      </c>
      <c r="F314">
        <f t="shared" si="40"/>
        <v>1</v>
      </c>
      <c r="G314">
        <f t="shared" si="41"/>
        <v>0</v>
      </c>
      <c r="H314">
        <f t="shared" si="42"/>
        <v>0</v>
      </c>
      <c r="I314">
        <f t="shared" si="43"/>
        <v>0</v>
      </c>
      <c r="J314">
        <v>1</v>
      </c>
      <c r="K314">
        <v>4</v>
      </c>
      <c r="L314">
        <v>7.2</v>
      </c>
      <c r="M314">
        <v>2.2999999999999998</v>
      </c>
      <c r="N314">
        <v>8.1999999999999993</v>
      </c>
      <c r="O314" s="1">
        <f>((INT(N314)-INT(L314))*3)-(((L314-INT(L314))*10) - ((N314-INT(N314))*10))</f>
        <v>2.9999999999999911</v>
      </c>
      <c r="P314">
        <f t="shared" si="44"/>
        <v>1</v>
      </c>
      <c r="Q314">
        <f t="shared" si="45"/>
        <v>0</v>
      </c>
      <c r="R314">
        <f t="shared" si="46"/>
        <v>0</v>
      </c>
    </row>
    <row r="315" spans="1:18" x14ac:dyDescent="0.2">
      <c r="A315">
        <v>62027</v>
      </c>
      <c r="B315">
        <v>0</v>
      </c>
      <c r="C315">
        <f t="shared" si="38"/>
        <v>0</v>
      </c>
      <c r="D315">
        <f t="shared" si="39"/>
        <v>1</v>
      </c>
      <c r="E315">
        <v>1</v>
      </c>
      <c r="F315">
        <f t="shared" si="40"/>
        <v>1</v>
      </c>
      <c r="G315">
        <f t="shared" si="41"/>
        <v>0</v>
      </c>
      <c r="H315">
        <f t="shared" si="42"/>
        <v>0</v>
      </c>
      <c r="I315">
        <f t="shared" si="43"/>
        <v>0</v>
      </c>
      <c r="J315">
        <v>1</v>
      </c>
      <c r="K315">
        <v>4.3</v>
      </c>
      <c r="L315">
        <v>9.1999999999999993</v>
      </c>
      <c r="M315">
        <v>3.7</v>
      </c>
      <c r="N315">
        <v>10.199999999999999</v>
      </c>
      <c r="O315" s="1">
        <f>((INT(N315)-INT(L315))*3)-(((L315-INT(L315))*10) - ((N315-INT(N315))*10))</f>
        <v>3</v>
      </c>
      <c r="P315">
        <f t="shared" si="44"/>
        <v>1</v>
      </c>
      <c r="Q315">
        <f t="shared" si="45"/>
        <v>0</v>
      </c>
      <c r="R315">
        <f t="shared" si="46"/>
        <v>0</v>
      </c>
    </row>
    <row r="316" spans="1:18" x14ac:dyDescent="0.2">
      <c r="A316">
        <v>62334</v>
      </c>
      <c r="B316">
        <v>1</v>
      </c>
      <c r="C316">
        <f t="shared" si="38"/>
        <v>1</v>
      </c>
      <c r="D316">
        <f t="shared" si="39"/>
        <v>0</v>
      </c>
      <c r="E316">
        <v>2</v>
      </c>
      <c r="F316">
        <f t="shared" si="40"/>
        <v>0</v>
      </c>
      <c r="G316">
        <f t="shared" si="41"/>
        <v>1</v>
      </c>
      <c r="H316">
        <f t="shared" si="42"/>
        <v>0</v>
      </c>
      <c r="I316">
        <f t="shared" si="43"/>
        <v>0</v>
      </c>
      <c r="J316">
        <v>1</v>
      </c>
      <c r="K316">
        <v>3.3</v>
      </c>
      <c r="L316">
        <v>6.2</v>
      </c>
      <c r="M316">
        <v>4</v>
      </c>
      <c r="N316">
        <v>8</v>
      </c>
      <c r="O316" s="1">
        <f>((INT(N316)-INT(L316))*3)-(((L316-INT(L316))*10) - ((N316-INT(N316))*10))</f>
        <v>3.9999999999999982</v>
      </c>
      <c r="P316">
        <f t="shared" si="44"/>
        <v>0</v>
      </c>
      <c r="Q316">
        <f t="shared" si="45"/>
        <v>1</v>
      </c>
      <c r="R316">
        <f t="shared" si="46"/>
        <v>0</v>
      </c>
    </row>
    <row r="317" spans="1:18" x14ac:dyDescent="0.2">
      <c r="A317">
        <v>62337</v>
      </c>
      <c r="B317">
        <v>0</v>
      </c>
      <c r="C317">
        <f t="shared" si="38"/>
        <v>0</v>
      </c>
      <c r="D317">
        <f t="shared" si="39"/>
        <v>1</v>
      </c>
      <c r="E317">
        <v>4</v>
      </c>
      <c r="F317">
        <f t="shared" si="40"/>
        <v>0</v>
      </c>
      <c r="G317">
        <f t="shared" si="41"/>
        <v>0</v>
      </c>
      <c r="H317">
        <f t="shared" si="42"/>
        <v>0</v>
      </c>
      <c r="I317">
        <f t="shared" si="43"/>
        <v>1</v>
      </c>
      <c r="J317">
        <v>0</v>
      </c>
      <c r="K317">
        <v>2</v>
      </c>
      <c r="L317">
        <v>9.1</v>
      </c>
      <c r="M317">
        <v>3.3</v>
      </c>
      <c r="N317">
        <v>9</v>
      </c>
      <c r="O317" s="1">
        <f>((INT(N317)-INT(L317))*3)-(((L317-INT(L317))*10) - ((N317-INT(N317))*10))</f>
        <v>-0.99999999999999645</v>
      </c>
      <c r="P317">
        <f t="shared" si="44"/>
        <v>1</v>
      </c>
      <c r="Q317">
        <f t="shared" si="45"/>
        <v>0</v>
      </c>
      <c r="R317">
        <f t="shared" si="46"/>
        <v>0</v>
      </c>
    </row>
    <row r="318" spans="1:18" x14ac:dyDescent="0.2">
      <c r="A318">
        <v>62393</v>
      </c>
      <c r="B318">
        <v>0</v>
      </c>
      <c r="C318">
        <f t="shared" si="38"/>
        <v>0</v>
      </c>
      <c r="D318">
        <f t="shared" si="39"/>
        <v>1</v>
      </c>
      <c r="E318">
        <v>1</v>
      </c>
      <c r="F318">
        <f t="shared" si="40"/>
        <v>1</v>
      </c>
      <c r="G318">
        <f t="shared" si="41"/>
        <v>0</v>
      </c>
      <c r="H318">
        <f t="shared" si="42"/>
        <v>0</v>
      </c>
      <c r="I318">
        <f t="shared" si="43"/>
        <v>0</v>
      </c>
      <c r="J318">
        <v>0</v>
      </c>
      <c r="K318">
        <v>3.7</v>
      </c>
      <c r="L318">
        <v>11.2</v>
      </c>
      <c r="M318">
        <v>4</v>
      </c>
      <c r="N318">
        <v>12.2</v>
      </c>
      <c r="O318" s="1">
        <f>((INT(N318)-INT(L318))*3)-(((L318-INT(L318))*10) - ((N318-INT(N318))*10))</f>
        <v>3</v>
      </c>
      <c r="P318">
        <f t="shared" si="44"/>
        <v>1</v>
      </c>
      <c r="Q318">
        <f t="shared" si="45"/>
        <v>0</v>
      </c>
      <c r="R318">
        <f t="shared" si="46"/>
        <v>0</v>
      </c>
    </row>
    <row r="319" spans="1:18" x14ac:dyDescent="0.2">
      <c r="A319">
        <v>62608</v>
      </c>
      <c r="B319">
        <v>0</v>
      </c>
      <c r="C319">
        <f t="shared" si="38"/>
        <v>0</v>
      </c>
      <c r="D319">
        <f t="shared" si="39"/>
        <v>1</v>
      </c>
      <c r="E319">
        <v>4</v>
      </c>
      <c r="F319">
        <f t="shared" si="40"/>
        <v>0</v>
      </c>
      <c r="G319">
        <f t="shared" si="41"/>
        <v>0</v>
      </c>
      <c r="H319">
        <f t="shared" si="42"/>
        <v>0</v>
      </c>
      <c r="I319">
        <f t="shared" si="43"/>
        <v>1</v>
      </c>
      <c r="J319">
        <v>1</v>
      </c>
      <c r="K319">
        <v>4</v>
      </c>
      <c r="L319">
        <v>10</v>
      </c>
      <c r="M319">
        <v>4</v>
      </c>
      <c r="N319">
        <v>11.2</v>
      </c>
      <c r="O319" s="1">
        <f>((INT(N319)-INT(L319))*3)-(((L319-INT(L319))*10) - ((N319-INT(N319))*10))</f>
        <v>4.9999999999999929</v>
      </c>
      <c r="P319">
        <f t="shared" si="44"/>
        <v>0</v>
      </c>
      <c r="Q319">
        <f t="shared" si="45"/>
        <v>1</v>
      </c>
      <c r="R319">
        <f t="shared" si="46"/>
        <v>0</v>
      </c>
    </row>
    <row r="320" spans="1:18" x14ac:dyDescent="0.2">
      <c r="A320">
        <v>62710</v>
      </c>
      <c r="B320">
        <v>0</v>
      </c>
      <c r="C320">
        <f t="shared" si="38"/>
        <v>0</v>
      </c>
      <c r="D320">
        <f t="shared" si="39"/>
        <v>1</v>
      </c>
      <c r="E320">
        <v>2</v>
      </c>
      <c r="F320">
        <f t="shared" si="40"/>
        <v>0</v>
      </c>
      <c r="G320">
        <f t="shared" si="41"/>
        <v>1</v>
      </c>
      <c r="H320">
        <f t="shared" si="42"/>
        <v>0</v>
      </c>
      <c r="I320">
        <f t="shared" si="43"/>
        <v>0</v>
      </c>
      <c r="J320">
        <v>0</v>
      </c>
      <c r="K320">
        <v>2.2999999999999998</v>
      </c>
      <c r="L320">
        <v>9.1999999999999993</v>
      </c>
      <c r="M320">
        <v>3</v>
      </c>
      <c r="N320">
        <v>11</v>
      </c>
      <c r="O320" s="1">
        <f>((INT(N320)-INT(L320))*3)-(((L320-INT(L320))*10) - ((N320-INT(N320))*10))</f>
        <v>4.0000000000000071</v>
      </c>
      <c r="P320">
        <f t="shared" si="44"/>
        <v>0</v>
      </c>
      <c r="Q320">
        <f t="shared" si="45"/>
        <v>1</v>
      </c>
      <c r="R320">
        <f t="shared" si="46"/>
        <v>0</v>
      </c>
    </row>
    <row r="321" spans="1:18" x14ac:dyDescent="0.2">
      <c r="A321">
        <v>62763</v>
      </c>
      <c r="B321">
        <v>0</v>
      </c>
      <c r="C321">
        <f t="shared" si="38"/>
        <v>0</v>
      </c>
      <c r="D321">
        <f t="shared" si="39"/>
        <v>1</v>
      </c>
      <c r="E321">
        <v>4</v>
      </c>
      <c r="F321">
        <f t="shared" si="40"/>
        <v>0</v>
      </c>
      <c r="G321">
        <f t="shared" si="41"/>
        <v>0</v>
      </c>
      <c r="H321">
        <f t="shared" si="42"/>
        <v>0</v>
      </c>
      <c r="I321">
        <f t="shared" si="43"/>
        <v>1</v>
      </c>
      <c r="J321">
        <v>1</v>
      </c>
      <c r="K321">
        <v>3.7</v>
      </c>
      <c r="L321">
        <v>7.2</v>
      </c>
      <c r="M321">
        <v>4.3</v>
      </c>
      <c r="N321">
        <v>8.1999999999999993</v>
      </c>
      <c r="O321" s="1">
        <f>((INT(N321)-INT(L321))*3)-(((L321-INT(L321))*10) - ((N321-INT(N321))*10))</f>
        <v>2.9999999999999911</v>
      </c>
      <c r="P321">
        <f t="shared" si="44"/>
        <v>1</v>
      </c>
      <c r="Q321">
        <f t="shared" si="45"/>
        <v>0</v>
      </c>
      <c r="R321">
        <f t="shared" si="46"/>
        <v>0</v>
      </c>
    </row>
    <row r="322" spans="1:18" x14ac:dyDescent="0.2">
      <c r="A322">
        <v>62789</v>
      </c>
      <c r="B322">
        <v>0</v>
      </c>
      <c r="C322">
        <f t="shared" si="38"/>
        <v>0</v>
      </c>
      <c r="D322">
        <f t="shared" si="39"/>
        <v>1</v>
      </c>
      <c r="E322">
        <v>1</v>
      </c>
      <c r="F322">
        <f t="shared" si="40"/>
        <v>1</v>
      </c>
      <c r="G322">
        <f t="shared" si="41"/>
        <v>0</v>
      </c>
      <c r="H322">
        <f t="shared" si="42"/>
        <v>0</v>
      </c>
      <c r="I322">
        <f t="shared" si="43"/>
        <v>0</v>
      </c>
      <c r="J322">
        <v>1</v>
      </c>
      <c r="K322">
        <v>3</v>
      </c>
      <c r="L322">
        <v>5.2</v>
      </c>
      <c r="M322">
        <v>2</v>
      </c>
      <c r="N322">
        <v>7.1</v>
      </c>
      <c r="O322" s="1">
        <f>((INT(N322)-INT(L322))*3)-(((L322-INT(L322))*10) - ((N322-INT(N322))*10))</f>
        <v>4.9999999999999947</v>
      </c>
      <c r="P322">
        <f t="shared" si="44"/>
        <v>0</v>
      </c>
      <c r="Q322">
        <f t="shared" si="45"/>
        <v>1</v>
      </c>
      <c r="R322">
        <f t="shared" si="46"/>
        <v>0</v>
      </c>
    </row>
    <row r="323" spans="1:18" x14ac:dyDescent="0.2">
      <c r="A323">
        <v>62966</v>
      </c>
      <c r="B323">
        <v>0</v>
      </c>
      <c r="C323">
        <f t="shared" ref="C323:C358" si="47">IF(B323=1,1,0)</f>
        <v>0</v>
      </c>
      <c r="D323">
        <f t="shared" ref="D323:D358" si="48">IF(B323=0,1,0)</f>
        <v>1</v>
      </c>
      <c r="E323">
        <v>1</v>
      </c>
      <c r="F323">
        <f t="shared" ref="F323:F358" si="49">IF(E323=1,1,0)</f>
        <v>1</v>
      </c>
      <c r="G323">
        <f t="shared" ref="G323:G358" si="50">IF(E323=2,1,0)</f>
        <v>0</v>
      </c>
      <c r="H323">
        <f t="shared" ref="H323:H358" si="51">IF(E323=3,1,0)</f>
        <v>0</v>
      </c>
      <c r="I323">
        <f t="shared" ref="I323:I358" si="52">IF(E323=4,1,0)</f>
        <v>0</v>
      </c>
      <c r="J323">
        <v>1</v>
      </c>
      <c r="K323">
        <v>3.3</v>
      </c>
      <c r="L323">
        <v>2.2000000000000002</v>
      </c>
      <c r="M323">
        <v>3</v>
      </c>
      <c r="N323">
        <v>4.0999999999999996</v>
      </c>
      <c r="O323" s="1">
        <f>((INT(N323)-INT(L323))*3)-(((L323-INT(L323))*10) - ((N323-INT(N323))*10))</f>
        <v>4.9999999999999947</v>
      </c>
      <c r="P323">
        <f t="shared" ref="P323:P358" si="53">IF(O323&lt;4,1,0)</f>
        <v>0</v>
      </c>
      <c r="Q323">
        <f t="shared" si="45"/>
        <v>1</v>
      </c>
      <c r="R323">
        <f t="shared" si="46"/>
        <v>0</v>
      </c>
    </row>
    <row r="324" spans="1:18" x14ac:dyDescent="0.2">
      <c r="A324">
        <v>63276</v>
      </c>
      <c r="B324">
        <v>0</v>
      </c>
      <c r="C324">
        <f t="shared" si="47"/>
        <v>0</v>
      </c>
      <c r="D324">
        <f t="shared" si="48"/>
        <v>1</v>
      </c>
      <c r="E324">
        <v>1</v>
      </c>
      <c r="F324">
        <f t="shared" si="49"/>
        <v>1</v>
      </c>
      <c r="G324">
        <f t="shared" si="50"/>
        <v>0</v>
      </c>
      <c r="H324">
        <f t="shared" si="51"/>
        <v>0</v>
      </c>
      <c r="I324">
        <f t="shared" si="52"/>
        <v>0</v>
      </c>
      <c r="J324">
        <v>1</v>
      </c>
      <c r="K324">
        <v>4.3</v>
      </c>
      <c r="L324">
        <v>11.2</v>
      </c>
      <c r="M324">
        <v>4</v>
      </c>
      <c r="N324">
        <v>12.2</v>
      </c>
      <c r="O324" s="1">
        <f>((INT(N324)-INT(L324))*3)-(((L324-INT(L324))*10) - ((N324-INT(N324))*10))</f>
        <v>3</v>
      </c>
      <c r="P324">
        <f t="shared" si="53"/>
        <v>1</v>
      </c>
      <c r="Q324">
        <f t="shared" si="45"/>
        <v>0</v>
      </c>
      <c r="R324">
        <f t="shared" si="46"/>
        <v>0</v>
      </c>
    </row>
    <row r="325" spans="1:18" x14ac:dyDescent="0.2">
      <c r="A325">
        <v>63479</v>
      </c>
      <c r="B325">
        <v>0</v>
      </c>
      <c r="C325">
        <f t="shared" si="47"/>
        <v>0</v>
      </c>
      <c r="D325">
        <f t="shared" si="48"/>
        <v>1</v>
      </c>
      <c r="E325">
        <v>4</v>
      </c>
      <c r="F325">
        <f t="shared" si="49"/>
        <v>0</v>
      </c>
      <c r="G325">
        <f t="shared" si="50"/>
        <v>0</v>
      </c>
      <c r="H325">
        <f t="shared" si="51"/>
        <v>0</v>
      </c>
      <c r="I325">
        <f t="shared" si="52"/>
        <v>1</v>
      </c>
      <c r="J325">
        <v>1</v>
      </c>
      <c r="K325">
        <v>2.2999999999999998</v>
      </c>
      <c r="L325">
        <v>1</v>
      </c>
      <c r="M325">
        <v>3.3</v>
      </c>
      <c r="N325">
        <v>3</v>
      </c>
      <c r="O325" s="1">
        <f>((INT(N325)-INT(L325))*3)-(((L325-INT(L325))*10) - ((N325-INT(N325))*10))</f>
        <v>6</v>
      </c>
      <c r="P325">
        <f t="shared" si="53"/>
        <v>0</v>
      </c>
      <c r="Q325">
        <f t="shared" si="45"/>
        <v>0</v>
      </c>
      <c r="R325">
        <f t="shared" si="46"/>
        <v>1</v>
      </c>
    </row>
    <row r="326" spans="1:18" x14ac:dyDescent="0.2">
      <c r="A326">
        <v>63710</v>
      </c>
      <c r="B326">
        <v>0</v>
      </c>
      <c r="C326">
        <f t="shared" si="47"/>
        <v>0</v>
      </c>
      <c r="D326">
        <f t="shared" si="48"/>
        <v>1</v>
      </c>
      <c r="E326">
        <v>1</v>
      </c>
      <c r="F326">
        <f t="shared" si="49"/>
        <v>1</v>
      </c>
      <c r="G326">
        <f t="shared" si="50"/>
        <v>0</v>
      </c>
      <c r="H326">
        <f t="shared" si="51"/>
        <v>0</v>
      </c>
      <c r="I326">
        <f t="shared" si="52"/>
        <v>0</v>
      </c>
      <c r="J326">
        <v>0</v>
      </c>
      <c r="K326">
        <v>4.3</v>
      </c>
      <c r="L326">
        <v>9</v>
      </c>
      <c r="M326">
        <v>4.3</v>
      </c>
      <c r="N326">
        <v>11</v>
      </c>
      <c r="O326" s="1">
        <f>((INT(N326)-INT(L326))*3)-(((L326-INT(L326))*10) - ((N326-INT(N326))*10))</f>
        <v>6</v>
      </c>
      <c r="P326">
        <f t="shared" si="53"/>
        <v>0</v>
      </c>
      <c r="Q326">
        <f t="shared" si="45"/>
        <v>0</v>
      </c>
      <c r="R326">
        <f t="shared" si="46"/>
        <v>1</v>
      </c>
    </row>
    <row r="327" spans="1:18" x14ac:dyDescent="0.2">
      <c r="A327">
        <v>63771</v>
      </c>
      <c r="B327">
        <v>0</v>
      </c>
      <c r="C327">
        <f t="shared" si="47"/>
        <v>0</v>
      </c>
      <c r="D327">
        <f t="shared" si="48"/>
        <v>1</v>
      </c>
      <c r="E327">
        <v>4</v>
      </c>
      <c r="F327">
        <f t="shared" si="49"/>
        <v>0</v>
      </c>
      <c r="G327">
        <f t="shared" si="50"/>
        <v>0</v>
      </c>
      <c r="H327">
        <f t="shared" si="51"/>
        <v>0</v>
      </c>
      <c r="I327">
        <f t="shared" si="52"/>
        <v>1</v>
      </c>
      <c r="J327">
        <v>0</v>
      </c>
      <c r="K327">
        <v>2</v>
      </c>
      <c r="L327">
        <v>9</v>
      </c>
      <c r="M327">
        <v>4</v>
      </c>
      <c r="N327">
        <v>10.199999999999999</v>
      </c>
      <c r="O327" s="1">
        <f>((INT(N327)-INT(L327))*3)-(((L327-INT(L327))*10) - ((N327-INT(N327))*10))</f>
        <v>4.9999999999999929</v>
      </c>
      <c r="P327">
        <f t="shared" si="53"/>
        <v>0</v>
      </c>
      <c r="Q327">
        <f t="shared" si="45"/>
        <v>1</v>
      </c>
      <c r="R327">
        <f t="shared" si="46"/>
        <v>0</v>
      </c>
    </row>
    <row r="328" spans="1:18" x14ac:dyDescent="0.2">
      <c r="A328">
        <v>63831</v>
      </c>
      <c r="B328">
        <v>0</v>
      </c>
      <c r="C328">
        <f t="shared" si="47"/>
        <v>0</v>
      </c>
      <c r="D328">
        <f t="shared" si="48"/>
        <v>1</v>
      </c>
      <c r="E328">
        <v>3</v>
      </c>
      <c r="F328">
        <f t="shared" si="49"/>
        <v>0</v>
      </c>
      <c r="G328">
        <f t="shared" si="50"/>
        <v>0</v>
      </c>
      <c r="H328">
        <f t="shared" si="51"/>
        <v>1</v>
      </c>
      <c r="I328">
        <f t="shared" si="52"/>
        <v>0</v>
      </c>
      <c r="J328">
        <v>0</v>
      </c>
      <c r="K328">
        <v>4.3</v>
      </c>
      <c r="L328">
        <v>9</v>
      </c>
      <c r="M328">
        <v>3.7</v>
      </c>
      <c r="N328">
        <v>10.1</v>
      </c>
      <c r="O328" s="1">
        <f>((INT(N328)-INT(L328))*3)-(((L328-INT(L328))*10) - ((N328-INT(N328))*10))</f>
        <v>3.9999999999999964</v>
      </c>
      <c r="P328">
        <f t="shared" si="53"/>
        <v>0</v>
      </c>
      <c r="Q328">
        <f t="shared" si="45"/>
        <v>1</v>
      </c>
      <c r="R328">
        <f t="shared" si="46"/>
        <v>0</v>
      </c>
    </row>
    <row r="329" spans="1:18" x14ac:dyDescent="0.2">
      <c r="A329">
        <v>63860</v>
      </c>
      <c r="B329">
        <v>0</v>
      </c>
      <c r="C329">
        <f t="shared" si="47"/>
        <v>0</v>
      </c>
      <c r="D329">
        <f t="shared" si="48"/>
        <v>1</v>
      </c>
      <c r="E329">
        <v>3</v>
      </c>
      <c r="F329">
        <f t="shared" si="49"/>
        <v>0</v>
      </c>
      <c r="G329">
        <f t="shared" si="50"/>
        <v>0</v>
      </c>
      <c r="H329">
        <f t="shared" si="51"/>
        <v>1</v>
      </c>
      <c r="I329">
        <f t="shared" si="52"/>
        <v>0</v>
      </c>
      <c r="J329">
        <v>1</v>
      </c>
      <c r="K329">
        <v>3.3</v>
      </c>
      <c r="L329">
        <v>6</v>
      </c>
      <c r="M329">
        <v>3.7</v>
      </c>
      <c r="N329">
        <v>8</v>
      </c>
      <c r="O329" s="1">
        <f>((INT(N329)-INT(L329))*3)-(((L329-INT(L329))*10) - ((N329-INT(N329))*10))</f>
        <v>6</v>
      </c>
      <c r="P329">
        <f t="shared" si="53"/>
        <v>0</v>
      </c>
      <c r="Q329">
        <f t="shared" si="45"/>
        <v>0</v>
      </c>
      <c r="R329">
        <f t="shared" si="46"/>
        <v>1</v>
      </c>
    </row>
    <row r="330" spans="1:18" x14ac:dyDescent="0.2">
      <c r="A330">
        <v>64037</v>
      </c>
      <c r="B330">
        <v>0</v>
      </c>
      <c r="C330">
        <f t="shared" si="47"/>
        <v>0</v>
      </c>
      <c r="D330">
        <f t="shared" si="48"/>
        <v>1</v>
      </c>
      <c r="E330">
        <v>3</v>
      </c>
      <c r="F330">
        <f t="shared" si="49"/>
        <v>0</v>
      </c>
      <c r="G330">
        <f t="shared" si="50"/>
        <v>0</v>
      </c>
      <c r="H330">
        <f t="shared" si="51"/>
        <v>1</v>
      </c>
      <c r="I330">
        <f t="shared" si="52"/>
        <v>0</v>
      </c>
      <c r="J330">
        <v>0</v>
      </c>
      <c r="K330">
        <v>4</v>
      </c>
      <c r="L330">
        <v>5.2</v>
      </c>
      <c r="M330">
        <v>2</v>
      </c>
      <c r="N330">
        <v>7.2</v>
      </c>
      <c r="O330" s="1">
        <f>((INT(N330)-INT(L330))*3)-(((L330-INT(L330))*10) - ((N330-INT(N330))*10))</f>
        <v>6</v>
      </c>
      <c r="P330">
        <f t="shared" si="53"/>
        <v>0</v>
      </c>
      <c r="Q330">
        <f t="shared" si="45"/>
        <v>0</v>
      </c>
      <c r="R330">
        <f t="shared" si="46"/>
        <v>1</v>
      </c>
    </row>
    <row r="331" spans="1:18" x14ac:dyDescent="0.2">
      <c r="A331">
        <v>64177</v>
      </c>
      <c r="B331">
        <v>0</v>
      </c>
      <c r="C331">
        <f t="shared" si="47"/>
        <v>0</v>
      </c>
      <c r="D331">
        <f t="shared" si="48"/>
        <v>1</v>
      </c>
      <c r="E331">
        <v>1</v>
      </c>
      <c r="F331">
        <f t="shared" si="49"/>
        <v>1</v>
      </c>
      <c r="G331">
        <f t="shared" si="50"/>
        <v>0</v>
      </c>
      <c r="H331">
        <f t="shared" si="51"/>
        <v>0</v>
      </c>
      <c r="I331">
        <f t="shared" si="52"/>
        <v>0</v>
      </c>
      <c r="J331">
        <v>0</v>
      </c>
      <c r="K331">
        <v>4</v>
      </c>
      <c r="L331">
        <v>8</v>
      </c>
      <c r="M331">
        <v>4.3</v>
      </c>
      <c r="N331">
        <v>11</v>
      </c>
      <c r="O331" s="1">
        <f>((INT(N331)-INT(L331))*3)-(((L331-INT(L331))*10) - ((N331-INT(N331))*10))</f>
        <v>9</v>
      </c>
      <c r="P331">
        <f t="shared" si="53"/>
        <v>0</v>
      </c>
      <c r="Q331">
        <f t="shared" si="45"/>
        <v>0</v>
      </c>
      <c r="R331">
        <f t="shared" si="46"/>
        <v>1</v>
      </c>
    </row>
    <row r="332" spans="1:18" x14ac:dyDescent="0.2">
      <c r="A332">
        <v>64369</v>
      </c>
      <c r="B332">
        <v>0</v>
      </c>
      <c r="C332">
        <f t="shared" si="47"/>
        <v>0</v>
      </c>
      <c r="D332">
        <f t="shared" si="48"/>
        <v>1</v>
      </c>
      <c r="E332">
        <v>3</v>
      </c>
      <c r="F332">
        <f t="shared" si="49"/>
        <v>0</v>
      </c>
      <c r="G332">
        <f t="shared" si="50"/>
        <v>0</v>
      </c>
      <c r="H332">
        <f t="shared" si="51"/>
        <v>1</v>
      </c>
      <c r="I332">
        <f t="shared" si="52"/>
        <v>0</v>
      </c>
      <c r="J332">
        <v>1</v>
      </c>
      <c r="K332">
        <v>3</v>
      </c>
      <c r="L332">
        <v>7.2</v>
      </c>
      <c r="M332">
        <v>3</v>
      </c>
      <c r="N332">
        <v>8.1999999999999993</v>
      </c>
      <c r="O332" s="1">
        <f>((INT(N332)-INT(L332))*3)-(((L332-INT(L332))*10) - ((N332-INT(N332))*10))</f>
        <v>2.9999999999999911</v>
      </c>
      <c r="P332">
        <f t="shared" si="53"/>
        <v>1</v>
      </c>
      <c r="Q332">
        <f t="shared" si="45"/>
        <v>0</v>
      </c>
      <c r="R332">
        <f t="shared" si="46"/>
        <v>0</v>
      </c>
    </row>
    <row r="333" spans="1:18" x14ac:dyDescent="0.2">
      <c r="A333">
        <v>64533</v>
      </c>
      <c r="B333">
        <v>99</v>
      </c>
      <c r="C333">
        <f t="shared" si="47"/>
        <v>0</v>
      </c>
      <c r="D333">
        <f t="shared" si="48"/>
        <v>0</v>
      </c>
      <c r="E333">
        <v>4</v>
      </c>
      <c r="F333">
        <f t="shared" si="49"/>
        <v>0</v>
      </c>
      <c r="G333">
        <f t="shared" si="50"/>
        <v>0</v>
      </c>
      <c r="H333">
        <f t="shared" si="51"/>
        <v>0</v>
      </c>
      <c r="I333">
        <f t="shared" si="52"/>
        <v>1</v>
      </c>
      <c r="J333">
        <v>1</v>
      </c>
      <c r="K333">
        <v>2.2999999999999998</v>
      </c>
      <c r="L333">
        <v>1</v>
      </c>
      <c r="M333">
        <v>4.3</v>
      </c>
      <c r="N333">
        <v>3</v>
      </c>
      <c r="O333" s="1">
        <f>((INT(N333)-INT(L333))*3)-(((L333-INT(L333))*10) - ((N333-INT(N333))*10))</f>
        <v>6</v>
      </c>
      <c r="P333">
        <f t="shared" si="53"/>
        <v>0</v>
      </c>
      <c r="Q333">
        <f t="shared" si="45"/>
        <v>0</v>
      </c>
      <c r="R333">
        <f t="shared" si="46"/>
        <v>1</v>
      </c>
    </row>
    <row r="334" spans="1:18" x14ac:dyDescent="0.2">
      <c r="A334">
        <v>64868</v>
      </c>
      <c r="B334">
        <v>0</v>
      </c>
      <c r="C334">
        <f t="shared" si="47"/>
        <v>0</v>
      </c>
      <c r="D334">
        <f t="shared" si="48"/>
        <v>1</v>
      </c>
      <c r="E334">
        <v>2</v>
      </c>
      <c r="F334">
        <f t="shared" si="49"/>
        <v>0</v>
      </c>
      <c r="G334">
        <f t="shared" si="50"/>
        <v>1</v>
      </c>
      <c r="H334">
        <f t="shared" si="51"/>
        <v>0</v>
      </c>
      <c r="I334">
        <f t="shared" si="52"/>
        <v>0</v>
      </c>
      <c r="J334">
        <v>1</v>
      </c>
      <c r="K334">
        <v>3.3</v>
      </c>
      <c r="L334">
        <v>2.2000000000000002</v>
      </c>
      <c r="M334">
        <v>4.3</v>
      </c>
      <c r="N334">
        <v>4.0999999999999996</v>
      </c>
      <c r="O334" s="1">
        <f>((INT(N334)-INT(L334))*3)-(((L334-INT(L334))*10) - ((N334-INT(N334))*10))</f>
        <v>4.9999999999999947</v>
      </c>
      <c r="P334">
        <f t="shared" si="53"/>
        <v>0</v>
      </c>
      <c r="Q334">
        <f t="shared" si="45"/>
        <v>1</v>
      </c>
      <c r="R334">
        <f t="shared" si="46"/>
        <v>0</v>
      </c>
    </row>
    <row r="335" spans="1:18" x14ac:dyDescent="0.2">
      <c r="A335">
        <v>64972</v>
      </c>
      <c r="B335">
        <v>0</v>
      </c>
      <c r="C335">
        <f t="shared" si="47"/>
        <v>0</v>
      </c>
      <c r="D335">
        <f t="shared" si="48"/>
        <v>1</v>
      </c>
      <c r="E335">
        <v>1</v>
      </c>
      <c r="F335">
        <f t="shared" si="49"/>
        <v>1</v>
      </c>
      <c r="G335">
        <f t="shared" si="50"/>
        <v>0</v>
      </c>
      <c r="H335">
        <f t="shared" si="51"/>
        <v>0</v>
      </c>
      <c r="I335">
        <f t="shared" si="52"/>
        <v>0</v>
      </c>
      <c r="J335">
        <v>1</v>
      </c>
      <c r="K335">
        <v>2</v>
      </c>
      <c r="L335">
        <v>6.1</v>
      </c>
      <c r="M335">
        <v>4</v>
      </c>
      <c r="N335">
        <v>7</v>
      </c>
      <c r="O335" s="1">
        <f>((INT(N335)-INT(L335))*3)-(((L335-INT(L335))*10) - ((N335-INT(N335))*10))</f>
        <v>2.0000000000000036</v>
      </c>
      <c r="P335">
        <f t="shared" si="53"/>
        <v>1</v>
      </c>
      <c r="Q335">
        <f t="shared" si="45"/>
        <v>0</v>
      </c>
      <c r="R335">
        <f t="shared" si="46"/>
        <v>0</v>
      </c>
    </row>
    <row r="336" spans="1:18" x14ac:dyDescent="0.2">
      <c r="A336">
        <v>65115</v>
      </c>
      <c r="B336">
        <v>0</v>
      </c>
      <c r="C336">
        <f t="shared" si="47"/>
        <v>0</v>
      </c>
      <c r="D336">
        <f t="shared" si="48"/>
        <v>1</v>
      </c>
      <c r="E336">
        <v>4</v>
      </c>
      <c r="F336">
        <f t="shared" si="49"/>
        <v>0</v>
      </c>
      <c r="G336">
        <f t="shared" si="50"/>
        <v>0</v>
      </c>
      <c r="H336">
        <f t="shared" si="51"/>
        <v>0</v>
      </c>
      <c r="I336">
        <f t="shared" si="52"/>
        <v>1</v>
      </c>
      <c r="J336">
        <v>0</v>
      </c>
      <c r="K336">
        <v>4.3</v>
      </c>
      <c r="L336">
        <v>10</v>
      </c>
      <c r="M336">
        <v>3.7</v>
      </c>
      <c r="N336">
        <v>12</v>
      </c>
      <c r="O336" s="1">
        <f>((INT(N336)-INT(L336))*3)-(((L336-INT(L336))*10) - ((N336-INT(N336))*10))</f>
        <v>6</v>
      </c>
      <c r="P336">
        <f t="shared" si="53"/>
        <v>0</v>
      </c>
      <c r="Q336">
        <f t="shared" si="45"/>
        <v>0</v>
      </c>
      <c r="R336">
        <f t="shared" si="46"/>
        <v>1</v>
      </c>
    </row>
    <row r="337" spans="1:18" x14ac:dyDescent="0.2">
      <c r="A337">
        <v>65261</v>
      </c>
      <c r="B337">
        <v>0</v>
      </c>
      <c r="C337">
        <f t="shared" si="47"/>
        <v>0</v>
      </c>
      <c r="D337">
        <f t="shared" si="48"/>
        <v>1</v>
      </c>
      <c r="E337">
        <v>4</v>
      </c>
      <c r="F337">
        <f t="shared" si="49"/>
        <v>0</v>
      </c>
      <c r="G337">
        <f t="shared" si="50"/>
        <v>0</v>
      </c>
      <c r="H337">
        <f t="shared" si="51"/>
        <v>0</v>
      </c>
      <c r="I337">
        <f t="shared" si="52"/>
        <v>1</v>
      </c>
      <c r="J337">
        <v>1</v>
      </c>
      <c r="K337">
        <v>3</v>
      </c>
      <c r="L337">
        <v>4.2</v>
      </c>
      <c r="M337">
        <v>2</v>
      </c>
      <c r="N337">
        <v>7.2</v>
      </c>
      <c r="O337" s="1">
        <f>((INT(N337)-INT(L337))*3)-(((L337-INT(L337))*10) - ((N337-INT(N337))*10))</f>
        <v>9</v>
      </c>
      <c r="P337">
        <f t="shared" si="53"/>
        <v>0</v>
      </c>
      <c r="Q337">
        <f t="shared" si="45"/>
        <v>0</v>
      </c>
      <c r="R337">
        <f t="shared" si="46"/>
        <v>1</v>
      </c>
    </row>
    <row r="338" spans="1:18" x14ac:dyDescent="0.2">
      <c r="A338">
        <v>65278</v>
      </c>
      <c r="B338">
        <v>0</v>
      </c>
      <c r="C338">
        <f t="shared" si="47"/>
        <v>0</v>
      </c>
      <c r="D338">
        <f t="shared" si="48"/>
        <v>1</v>
      </c>
      <c r="E338">
        <v>4</v>
      </c>
      <c r="F338">
        <f t="shared" si="49"/>
        <v>0</v>
      </c>
      <c r="G338">
        <f t="shared" si="50"/>
        <v>0</v>
      </c>
      <c r="H338">
        <f t="shared" si="51"/>
        <v>0</v>
      </c>
      <c r="I338">
        <f t="shared" si="52"/>
        <v>1</v>
      </c>
      <c r="J338">
        <v>0</v>
      </c>
      <c r="K338">
        <v>2</v>
      </c>
      <c r="L338">
        <v>5.2</v>
      </c>
      <c r="M338">
        <v>3.3</v>
      </c>
      <c r="N338">
        <v>9.1999999999999993</v>
      </c>
      <c r="O338" s="1">
        <f>((INT(N338)-INT(L338))*3)-(((L338-INT(L338))*10) - ((N338-INT(N338))*10))</f>
        <v>11.999999999999991</v>
      </c>
      <c r="P338">
        <f t="shared" si="53"/>
        <v>0</v>
      </c>
      <c r="Q338">
        <f t="shared" si="45"/>
        <v>0</v>
      </c>
      <c r="R338">
        <f t="shared" si="46"/>
        <v>1</v>
      </c>
    </row>
    <row r="339" spans="1:18" x14ac:dyDescent="0.2">
      <c r="A339">
        <v>65399</v>
      </c>
      <c r="B339">
        <v>0</v>
      </c>
      <c r="C339">
        <f t="shared" si="47"/>
        <v>0</v>
      </c>
      <c r="D339">
        <f t="shared" si="48"/>
        <v>1</v>
      </c>
      <c r="E339">
        <v>4</v>
      </c>
      <c r="F339">
        <f t="shared" si="49"/>
        <v>0</v>
      </c>
      <c r="G339">
        <f t="shared" si="50"/>
        <v>0</v>
      </c>
      <c r="H339">
        <f t="shared" si="51"/>
        <v>0</v>
      </c>
      <c r="I339">
        <f t="shared" si="52"/>
        <v>1</v>
      </c>
      <c r="J339">
        <v>1</v>
      </c>
      <c r="K339">
        <v>4</v>
      </c>
      <c r="L339">
        <v>6.2</v>
      </c>
      <c r="M339">
        <v>3.7</v>
      </c>
      <c r="N339">
        <v>8</v>
      </c>
      <c r="O339" s="1">
        <f>((INT(N339)-INT(L339))*3)-(((L339-INT(L339))*10) - ((N339-INT(N339))*10))</f>
        <v>3.9999999999999982</v>
      </c>
      <c r="P339">
        <f t="shared" si="53"/>
        <v>0</v>
      </c>
      <c r="Q339">
        <f t="shared" si="45"/>
        <v>1</v>
      </c>
      <c r="R339">
        <f t="shared" si="46"/>
        <v>0</v>
      </c>
    </row>
    <row r="340" spans="1:18" x14ac:dyDescent="0.2">
      <c r="A340">
        <v>65453</v>
      </c>
      <c r="B340">
        <v>0</v>
      </c>
      <c r="C340">
        <f t="shared" si="47"/>
        <v>0</v>
      </c>
      <c r="D340">
        <f t="shared" si="48"/>
        <v>1</v>
      </c>
      <c r="E340">
        <v>4</v>
      </c>
      <c r="F340">
        <f t="shared" si="49"/>
        <v>0</v>
      </c>
      <c r="G340">
        <f t="shared" si="50"/>
        <v>0</v>
      </c>
      <c r="H340">
        <f t="shared" si="51"/>
        <v>0</v>
      </c>
      <c r="I340">
        <f t="shared" si="52"/>
        <v>1</v>
      </c>
      <c r="J340">
        <v>0</v>
      </c>
      <c r="K340">
        <v>4</v>
      </c>
      <c r="L340">
        <v>3.2</v>
      </c>
      <c r="M340">
        <v>4.3</v>
      </c>
      <c r="N340">
        <v>5.0999999999999996</v>
      </c>
      <c r="O340" s="1">
        <f>((INT(N340)-INT(L340))*3)-(((L340-INT(L340))*10) - ((N340-INT(N340))*10))</f>
        <v>4.9999999999999947</v>
      </c>
      <c r="P340">
        <f t="shared" si="53"/>
        <v>0</v>
      </c>
      <c r="Q340">
        <f t="shared" si="45"/>
        <v>1</v>
      </c>
      <c r="R340">
        <f t="shared" si="46"/>
        <v>0</v>
      </c>
    </row>
    <row r="341" spans="1:18" x14ac:dyDescent="0.2">
      <c r="A341">
        <v>65537</v>
      </c>
      <c r="B341">
        <v>1</v>
      </c>
      <c r="C341">
        <f t="shared" si="47"/>
        <v>1</v>
      </c>
      <c r="D341">
        <f t="shared" si="48"/>
        <v>0</v>
      </c>
      <c r="E341">
        <v>1</v>
      </c>
      <c r="F341">
        <f t="shared" si="49"/>
        <v>1</v>
      </c>
      <c r="G341">
        <f t="shared" si="50"/>
        <v>0</v>
      </c>
      <c r="H341">
        <f t="shared" si="51"/>
        <v>0</v>
      </c>
      <c r="I341">
        <f t="shared" si="52"/>
        <v>0</v>
      </c>
      <c r="J341">
        <v>0</v>
      </c>
      <c r="K341">
        <v>3.7</v>
      </c>
      <c r="L341">
        <v>4.2</v>
      </c>
      <c r="M341">
        <v>3.7</v>
      </c>
      <c r="N341">
        <v>6</v>
      </c>
      <c r="O341" s="1">
        <f>((INT(N341)-INT(L341))*3)-(((L341-INT(L341))*10) - ((N341-INT(N341))*10))</f>
        <v>3.9999999999999982</v>
      </c>
      <c r="P341">
        <f t="shared" si="53"/>
        <v>0</v>
      </c>
      <c r="Q341">
        <f t="shared" si="45"/>
        <v>1</v>
      </c>
      <c r="R341">
        <f t="shared" si="46"/>
        <v>0</v>
      </c>
    </row>
    <row r="342" spans="1:18" x14ac:dyDescent="0.2">
      <c r="A342">
        <v>65538</v>
      </c>
      <c r="B342">
        <v>0</v>
      </c>
      <c r="C342">
        <f t="shared" si="47"/>
        <v>0</v>
      </c>
      <c r="D342">
        <f t="shared" si="48"/>
        <v>1</v>
      </c>
      <c r="E342">
        <v>4</v>
      </c>
      <c r="F342">
        <f t="shared" si="49"/>
        <v>0</v>
      </c>
      <c r="G342">
        <f t="shared" si="50"/>
        <v>0</v>
      </c>
      <c r="H342">
        <f t="shared" si="51"/>
        <v>0</v>
      </c>
      <c r="I342">
        <f t="shared" si="52"/>
        <v>1</v>
      </c>
      <c r="J342">
        <v>0</v>
      </c>
      <c r="K342">
        <v>3</v>
      </c>
      <c r="L342">
        <v>9</v>
      </c>
      <c r="M342">
        <v>4</v>
      </c>
      <c r="N342">
        <v>12.2</v>
      </c>
      <c r="O342" s="1">
        <f>((INT(N342)-INT(L342))*3)-(((L342-INT(L342))*10) - ((N342-INT(N342))*10))</f>
        <v>10.999999999999993</v>
      </c>
      <c r="P342">
        <f t="shared" si="53"/>
        <v>0</v>
      </c>
      <c r="Q342">
        <f t="shared" si="45"/>
        <v>0</v>
      </c>
      <c r="R342">
        <f t="shared" si="46"/>
        <v>1</v>
      </c>
    </row>
    <row r="343" spans="1:18" x14ac:dyDescent="0.2">
      <c r="A343">
        <v>65549</v>
      </c>
      <c r="B343">
        <v>1</v>
      </c>
      <c r="C343">
        <f t="shared" si="47"/>
        <v>1</v>
      </c>
      <c r="D343">
        <f t="shared" si="48"/>
        <v>0</v>
      </c>
      <c r="E343">
        <v>3</v>
      </c>
      <c r="F343">
        <f t="shared" si="49"/>
        <v>0</v>
      </c>
      <c r="G343">
        <f t="shared" si="50"/>
        <v>0</v>
      </c>
      <c r="H343">
        <f t="shared" si="51"/>
        <v>1</v>
      </c>
      <c r="I343">
        <f t="shared" si="52"/>
        <v>0</v>
      </c>
      <c r="J343">
        <v>1</v>
      </c>
      <c r="K343">
        <v>3</v>
      </c>
      <c r="L343">
        <v>8</v>
      </c>
      <c r="M343">
        <v>3</v>
      </c>
      <c r="N343">
        <v>10.199999999999999</v>
      </c>
      <c r="O343" s="1">
        <f>((INT(N343)-INT(L343))*3)-(((L343-INT(L343))*10) - ((N343-INT(N343))*10))</f>
        <v>7.9999999999999929</v>
      </c>
      <c r="P343">
        <f t="shared" si="53"/>
        <v>0</v>
      </c>
      <c r="Q343">
        <f t="shared" ref="Q343:Q358" si="54">IF(AND(O343&gt;3,O343&lt;6),1,0)</f>
        <v>0</v>
      </c>
      <c r="R343">
        <f t="shared" ref="R343:R358" si="55">IF(O343&gt;5,1,0)</f>
        <v>1</v>
      </c>
    </row>
    <row r="344" spans="1:18" x14ac:dyDescent="0.2">
      <c r="A344">
        <v>65707</v>
      </c>
      <c r="B344">
        <v>0</v>
      </c>
      <c r="C344">
        <f t="shared" si="47"/>
        <v>0</v>
      </c>
      <c r="D344">
        <f t="shared" si="48"/>
        <v>1</v>
      </c>
      <c r="E344">
        <v>4</v>
      </c>
      <c r="F344">
        <f t="shared" si="49"/>
        <v>0</v>
      </c>
      <c r="G344">
        <f t="shared" si="50"/>
        <v>0</v>
      </c>
      <c r="H344">
        <f t="shared" si="51"/>
        <v>0</v>
      </c>
      <c r="I344">
        <f t="shared" si="52"/>
        <v>1</v>
      </c>
      <c r="J344">
        <v>1</v>
      </c>
      <c r="K344">
        <v>4</v>
      </c>
      <c r="L344">
        <v>6.2</v>
      </c>
      <c r="M344">
        <v>3</v>
      </c>
      <c r="N344">
        <v>7.2</v>
      </c>
      <c r="O344" s="1">
        <f>((INT(N344)-INT(L344))*3)-(((L344-INT(L344))*10) - ((N344-INT(N344))*10))</f>
        <v>3</v>
      </c>
      <c r="P344">
        <f t="shared" si="53"/>
        <v>1</v>
      </c>
      <c r="Q344">
        <f t="shared" si="54"/>
        <v>0</v>
      </c>
      <c r="R344">
        <f t="shared" si="55"/>
        <v>0</v>
      </c>
    </row>
    <row r="345" spans="1:18" x14ac:dyDescent="0.2">
      <c r="A345">
        <v>66036</v>
      </c>
      <c r="B345">
        <v>1</v>
      </c>
      <c r="C345">
        <f t="shared" si="47"/>
        <v>1</v>
      </c>
      <c r="D345">
        <f t="shared" si="48"/>
        <v>0</v>
      </c>
      <c r="E345">
        <v>1</v>
      </c>
      <c r="F345">
        <f t="shared" si="49"/>
        <v>1</v>
      </c>
      <c r="G345">
        <f t="shared" si="50"/>
        <v>0</v>
      </c>
      <c r="H345">
        <f t="shared" si="51"/>
        <v>0</v>
      </c>
      <c r="I345">
        <f t="shared" si="52"/>
        <v>0</v>
      </c>
      <c r="J345">
        <v>1</v>
      </c>
      <c r="K345">
        <v>2.7</v>
      </c>
      <c r="L345">
        <v>9.1999999999999993</v>
      </c>
      <c r="M345">
        <v>3</v>
      </c>
      <c r="N345">
        <v>11</v>
      </c>
      <c r="O345" s="1">
        <f>((INT(N345)-INT(L345))*3)-(((L345-INT(L345))*10) - ((N345-INT(N345))*10))</f>
        <v>4.0000000000000071</v>
      </c>
      <c r="P345">
        <f t="shared" si="53"/>
        <v>0</v>
      </c>
      <c r="Q345">
        <f t="shared" si="54"/>
        <v>1</v>
      </c>
      <c r="R345">
        <f t="shared" si="55"/>
        <v>0</v>
      </c>
    </row>
    <row r="346" spans="1:18" x14ac:dyDescent="0.2">
      <c r="A346">
        <v>66150</v>
      </c>
      <c r="B346">
        <v>1</v>
      </c>
      <c r="C346">
        <f t="shared" si="47"/>
        <v>1</v>
      </c>
      <c r="D346">
        <f t="shared" si="48"/>
        <v>0</v>
      </c>
      <c r="E346">
        <v>4</v>
      </c>
      <c r="F346">
        <f t="shared" si="49"/>
        <v>0</v>
      </c>
      <c r="G346">
        <f t="shared" si="50"/>
        <v>0</v>
      </c>
      <c r="H346">
        <f t="shared" si="51"/>
        <v>0</v>
      </c>
      <c r="I346">
        <f t="shared" si="52"/>
        <v>1</v>
      </c>
      <c r="J346">
        <v>0</v>
      </c>
      <c r="K346">
        <v>4</v>
      </c>
      <c r="L346">
        <v>8.1999999999999993</v>
      </c>
      <c r="M346">
        <v>3.7</v>
      </c>
      <c r="N346">
        <v>9.1999999999999993</v>
      </c>
      <c r="O346" s="1">
        <f>((INT(N346)-INT(L346))*3)-(((L346-INT(L346))*10) - ((N346-INT(N346))*10))</f>
        <v>3</v>
      </c>
      <c r="P346">
        <f t="shared" si="53"/>
        <v>1</v>
      </c>
      <c r="Q346">
        <f t="shared" si="54"/>
        <v>0</v>
      </c>
      <c r="R346">
        <f t="shared" si="55"/>
        <v>0</v>
      </c>
    </row>
    <row r="347" spans="1:18" x14ac:dyDescent="0.2">
      <c r="A347">
        <v>66318</v>
      </c>
      <c r="B347">
        <v>0</v>
      </c>
      <c r="C347">
        <f t="shared" si="47"/>
        <v>0</v>
      </c>
      <c r="D347">
        <f t="shared" si="48"/>
        <v>1</v>
      </c>
      <c r="E347">
        <v>4</v>
      </c>
      <c r="F347">
        <f t="shared" si="49"/>
        <v>0</v>
      </c>
      <c r="G347">
        <f t="shared" si="50"/>
        <v>0</v>
      </c>
      <c r="H347">
        <f t="shared" si="51"/>
        <v>0</v>
      </c>
      <c r="I347">
        <f t="shared" si="52"/>
        <v>1</v>
      </c>
      <c r="J347">
        <v>1</v>
      </c>
      <c r="K347">
        <v>2.7</v>
      </c>
      <c r="L347">
        <v>6</v>
      </c>
      <c r="M347">
        <v>4</v>
      </c>
      <c r="N347">
        <v>7</v>
      </c>
      <c r="O347" s="1">
        <f>((INT(N347)-INT(L347))*3)-(((L347-INT(L347))*10) - ((N347-INT(N347))*10))</f>
        <v>3</v>
      </c>
      <c r="P347">
        <f t="shared" si="53"/>
        <v>1</v>
      </c>
      <c r="Q347">
        <f t="shared" si="54"/>
        <v>0</v>
      </c>
      <c r="R347">
        <f t="shared" si="55"/>
        <v>0</v>
      </c>
    </row>
    <row r="348" spans="1:18" x14ac:dyDescent="0.2">
      <c r="A348">
        <v>66413</v>
      </c>
      <c r="B348">
        <v>0</v>
      </c>
      <c r="C348">
        <f t="shared" si="47"/>
        <v>0</v>
      </c>
      <c r="D348">
        <f t="shared" si="48"/>
        <v>1</v>
      </c>
      <c r="E348">
        <v>4</v>
      </c>
      <c r="F348">
        <f t="shared" si="49"/>
        <v>0</v>
      </c>
      <c r="G348">
        <f t="shared" si="50"/>
        <v>0</v>
      </c>
      <c r="H348">
        <f t="shared" si="51"/>
        <v>0</v>
      </c>
      <c r="I348">
        <f t="shared" si="52"/>
        <v>1</v>
      </c>
      <c r="J348">
        <v>0</v>
      </c>
      <c r="K348">
        <v>3.3</v>
      </c>
      <c r="L348">
        <v>4.0999999999999996</v>
      </c>
      <c r="M348">
        <v>3</v>
      </c>
      <c r="N348">
        <v>6</v>
      </c>
      <c r="O348" s="1">
        <f>((INT(N348)-INT(L348))*3)-(((L348-INT(L348))*10) - ((N348-INT(N348))*10))</f>
        <v>5.0000000000000036</v>
      </c>
      <c r="P348">
        <f t="shared" si="53"/>
        <v>0</v>
      </c>
      <c r="Q348">
        <f t="shared" si="54"/>
        <v>1</v>
      </c>
      <c r="R348">
        <f t="shared" si="55"/>
        <v>0</v>
      </c>
    </row>
    <row r="349" spans="1:18" x14ac:dyDescent="0.2">
      <c r="A349">
        <v>67718</v>
      </c>
      <c r="B349">
        <v>0</v>
      </c>
      <c r="C349">
        <f t="shared" si="47"/>
        <v>0</v>
      </c>
      <c r="D349">
        <f t="shared" si="48"/>
        <v>1</v>
      </c>
      <c r="E349">
        <v>3</v>
      </c>
      <c r="F349">
        <f t="shared" si="49"/>
        <v>0</v>
      </c>
      <c r="G349">
        <f t="shared" si="50"/>
        <v>0</v>
      </c>
      <c r="H349">
        <f t="shared" si="51"/>
        <v>1</v>
      </c>
      <c r="I349">
        <f t="shared" si="52"/>
        <v>0</v>
      </c>
      <c r="J349">
        <v>0</v>
      </c>
      <c r="K349">
        <v>2.2999999999999998</v>
      </c>
      <c r="L349">
        <v>5</v>
      </c>
      <c r="M349">
        <v>2</v>
      </c>
      <c r="N349">
        <v>7.2</v>
      </c>
      <c r="O349" s="1">
        <f>((INT(N349)-INT(L349))*3)-(((L349-INT(L349))*10) - ((N349-INT(N349))*10))</f>
        <v>8.0000000000000018</v>
      </c>
      <c r="P349">
        <f t="shared" si="53"/>
        <v>0</v>
      </c>
      <c r="Q349">
        <f t="shared" si="54"/>
        <v>0</v>
      </c>
      <c r="R349">
        <f t="shared" si="55"/>
        <v>1</v>
      </c>
    </row>
    <row r="350" spans="1:18" x14ac:dyDescent="0.2">
      <c r="A350">
        <v>68420</v>
      </c>
      <c r="B350">
        <v>0</v>
      </c>
      <c r="C350">
        <f t="shared" si="47"/>
        <v>0</v>
      </c>
      <c r="D350">
        <f t="shared" si="48"/>
        <v>1</v>
      </c>
      <c r="E350">
        <v>2</v>
      </c>
      <c r="F350">
        <f t="shared" si="49"/>
        <v>0</v>
      </c>
      <c r="G350">
        <f t="shared" si="50"/>
        <v>1</v>
      </c>
      <c r="H350">
        <f t="shared" si="51"/>
        <v>0</v>
      </c>
      <c r="I350">
        <f t="shared" si="52"/>
        <v>0</v>
      </c>
      <c r="J350">
        <v>0</v>
      </c>
      <c r="K350">
        <v>2</v>
      </c>
      <c r="L350">
        <v>6</v>
      </c>
      <c r="M350">
        <v>2</v>
      </c>
      <c r="N350">
        <v>10.199999999999999</v>
      </c>
      <c r="O350" s="1">
        <f>((INT(N350)-INT(L350))*3)-(((L350-INT(L350))*10) - ((N350-INT(N350))*10))</f>
        <v>13.999999999999993</v>
      </c>
      <c r="P350">
        <f t="shared" si="53"/>
        <v>0</v>
      </c>
      <c r="Q350">
        <f t="shared" si="54"/>
        <v>0</v>
      </c>
      <c r="R350">
        <f t="shared" si="55"/>
        <v>1</v>
      </c>
    </row>
    <row r="351" spans="1:18" x14ac:dyDescent="0.2">
      <c r="A351">
        <v>68578</v>
      </c>
      <c r="B351">
        <v>0</v>
      </c>
      <c r="C351">
        <f t="shared" si="47"/>
        <v>0</v>
      </c>
      <c r="D351">
        <f t="shared" si="48"/>
        <v>1</v>
      </c>
      <c r="E351">
        <v>4</v>
      </c>
      <c r="F351">
        <f t="shared" si="49"/>
        <v>0</v>
      </c>
      <c r="G351">
        <f t="shared" si="50"/>
        <v>0</v>
      </c>
      <c r="H351">
        <f t="shared" si="51"/>
        <v>0</v>
      </c>
      <c r="I351">
        <f t="shared" si="52"/>
        <v>1</v>
      </c>
      <c r="J351">
        <v>1</v>
      </c>
      <c r="K351">
        <v>2</v>
      </c>
      <c r="L351">
        <v>8.1</v>
      </c>
      <c r="M351">
        <v>3</v>
      </c>
      <c r="N351">
        <v>11.1</v>
      </c>
      <c r="O351" s="1">
        <f>((INT(N351)-INT(L351))*3)-(((L351-INT(L351))*10) - ((N351-INT(N351))*10))</f>
        <v>9</v>
      </c>
      <c r="P351">
        <f t="shared" si="53"/>
        <v>0</v>
      </c>
      <c r="Q351">
        <f t="shared" si="54"/>
        <v>0</v>
      </c>
      <c r="R351">
        <f t="shared" si="55"/>
        <v>1</v>
      </c>
    </row>
    <row r="352" spans="1:18" x14ac:dyDescent="0.2">
      <c r="A352">
        <v>68845</v>
      </c>
      <c r="B352">
        <v>1</v>
      </c>
      <c r="C352">
        <f t="shared" si="47"/>
        <v>1</v>
      </c>
      <c r="D352">
        <f t="shared" si="48"/>
        <v>0</v>
      </c>
      <c r="E352">
        <v>4</v>
      </c>
      <c r="F352">
        <f t="shared" si="49"/>
        <v>0</v>
      </c>
      <c r="G352">
        <f t="shared" si="50"/>
        <v>0</v>
      </c>
      <c r="H352">
        <f t="shared" si="51"/>
        <v>0</v>
      </c>
      <c r="I352">
        <f t="shared" si="52"/>
        <v>1</v>
      </c>
      <c r="J352">
        <v>0</v>
      </c>
      <c r="K352">
        <v>2.7</v>
      </c>
      <c r="L352">
        <v>8.1999999999999993</v>
      </c>
      <c r="M352">
        <v>4</v>
      </c>
      <c r="N352">
        <v>11</v>
      </c>
      <c r="O352" s="1">
        <f>((INT(N352)-INT(L352))*3)-(((L352-INT(L352))*10) - ((N352-INT(N352))*10))</f>
        <v>7.0000000000000071</v>
      </c>
      <c r="P352">
        <f t="shared" si="53"/>
        <v>0</v>
      </c>
      <c r="Q352">
        <f t="shared" si="54"/>
        <v>0</v>
      </c>
      <c r="R352">
        <f t="shared" si="55"/>
        <v>1</v>
      </c>
    </row>
    <row r="353" spans="1:18" x14ac:dyDescent="0.2">
      <c r="A353">
        <v>69097</v>
      </c>
      <c r="B353">
        <v>1</v>
      </c>
      <c r="C353">
        <f t="shared" si="47"/>
        <v>1</v>
      </c>
      <c r="D353">
        <f t="shared" si="48"/>
        <v>0</v>
      </c>
      <c r="E353">
        <v>2</v>
      </c>
      <c r="F353">
        <f t="shared" si="49"/>
        <v>0</v>
      </c>
      <c r="G353">
        <f t="shared" si="50"/>
        <v>1</v>
      </c>
      <c r="H353">
        <f t="shared" si="51"/>
        <v>0</v>
      </c>
      <c r="I353">
        <f t="shared" si="52"/>
        <v>0</v>
      </c>
      <c r="J353">
        <v>0</v>
      </c>
      <c r="K353">
        <v>3.7</v>
      </c>
      <c r="L353">
        <v>4</v>
      </c>
      <c r="M353">
        <v>3</v>
      </c>
      <c r="N353">
        <v>6.1</v>
      </c>
      <c r="O353" s="1">
        <f>((INT(N353)-INT(L353))*3)-(((L353-INT(L353))*10) - ((N353-INT(N353))*10))</f>
        <v>6.9999999999999964</v>
      </c>
      <c r="P353">
        <f t="shared" si="53"/>
        <v>0</v>
      </c>
      <c r="Q353">
        <f t="shared" si="54"/>
        <v>0</v>
      </c>
      <c r="R353">
        <f t="shared" si="55"/>
        <v>1</v>
      </c>
    </row>
    <row r="354" spans="1:18" x14ac:dyDescent="0.2">
      <c r="A354">
        <v>69494</v>
      </c>
      <c r="B354">
        <v>0</v>
      </c>
      <c r="C354">
        <f t="shared" si="47"/>
        <v>0</v>
      </c>
      <c r="D354">
        <f t="shared" si="48"/>
        <v>1</v>
      </c>
      <c r="E354">
        <v>2</v>
      </c>
      <c r="F354">
        <f t="shared" si="49"/>
        <v>0</v>
      </c>
      <c r="G354">
        <f t="shared" si="50"/>
        <v>1</v>
      </c>
      <c r="H354">
        <f t="shared" si="51"/>
        <v>0</v>
      </c>
      <c r="I354">
        <f t="shared" si="52"/>
        <v>0</v>
      </c>
      <c r="J354">
        <v>1</v>
      </c>
      <c r="K354">
        <v>2</v>
      </c>
      <c r="L354">
        <v>2.1</v>
      </c>
      <c r="M354">
        <v>3</v>
      </c>
      <c r="N354">
        <v>3.1</v>
      </c>
      <c r="O354" s="1">
        <f>((INT(N354)-INT(L354))*3)-(((L354-INT(L354))*10) - ((N354-INT(N354))*10))</f>
        <v>3</v>
      </c>
      <c r="P354">
        <f t="shared" si="53"/>
        <v>1</v>
      </c>
      <c r="Q354">
        <f t="shared" si="54"/>
        <v>0</v>
      </c>
      <c r="R354">
        <f t="shared" si="55"/>
        <v>0</v>
      </c>
    </row>
    <row r="355" spans="1:18" x14ac:dyDescent="0.2">
      <c r="A355">
        <v>69940</v>
      </c>
      <c r="B355">
        <v>0</v>
      </c>
      <c r="C355">
        <f t="shared" si="47"/>
        <v>0</v>
      </c>
      <c r="D355">
        <f t="shared" si="48"/>
        <v>1</v>
      </c>
      <c r="E355">
        <v>2</v>
      </c>
      <c r="F355">
        <f t="shared" si="49"/>
        <v>0</v>
      </c>
      <c r="G355">
        <f t="shared" si="50"/>
        <v>1</v>
      </c>
      <c r="H355">
        <f t="shared" si="51"/>
        <v>0</v>
      </c>
      <c r="I355">
        <f t="shared" si="52"/>
        <v>0</v>
      </c>
      <c r="J355">
        <v>1</v>
      </c>
      <c r="K355">
        <v>2</v>
      </c>
      <c r="L355">
        <v>11</v>
      </c>
      <c r="M355">
        <v>4</v>
      </c>
      <c r="N355">
        <v>12.2</v>
      </c>
      <c r="O355" s="1">
        <f>((INT(N355)-INT(L355))*3)-(((L355-INT(L355))*10) - ((N355-INT(N355))*10))</f>
        <v>4.9999999999999929</v>
      </c>
      <c r="P355">
        <f t="shared" si="53"/>
        <v>0</v>
      </c>
      <c r="Q355">
        <f t="shared" si="54"/>
        <v>1</v>
      </c>
      <c r="R355">
        <f t="shared" si="55"/>
        <v>0</v>
      </c>
    </row>
    <row r="356" spans="1:18" x14ac:dyDescent="0.2">
      <c r="A356">
        <v>70047</v>
      </c>
      <c r="B356">
        <v>0</v>
      </c>
      <c r="C356">
        <f t="shared" si="47"/>
        <v>0</v>
      </c>
      <c r="D356">
        <f t="shared" si="48"/>
        <v>1</v>
      </c>
      <c r="E356">
        <v>1</v>
      </c>
      <c r="F356">
        <f t="shared" si="49"/>
        <v>1</v>
      </c>
      <c r="G356">
        <f t="shared" si="50"/>
        <v>0</v>
      </c>
      <c r="H356">
        <f t="shared" si="51"/>
        <v>0</v>
      </c>
      <c r="I356">
        <f t="shared" si="52"/>
        <v>0</v>
      </c>
      <c r="J356">
        <v>0</v>
      </c>
      <c r="K356">
        <v>2.2999999999999998</v>
      </c>
      <c r="L356">
        <v>10</v>
      </c>
      <c r="M356">
        <v>3.7</v>
      </c>
      <c r="N356">
        <v>11</v>
      </c>
      <c r="O356" s="1">
        <f>((INT(N356)-INT(L356))*3)-(((L356-INT(L356))*10) - ((N356-INT(N356))*10))</f>
        <v>3</v>
      </c>
      <c r="P356">
        <f t="shared" si="53"/>
        <v>1</v>
      </c>
      <c r="Q356">
        <f t="shared" si="54"/>
        <v>0</v>
      </c>
      <c r="R356">
        <f t="shared" si="55"/>
        <v>0</v>
      </c>
    </row>
    <row r="357" spans="1:18" x14ac:dyDescent="0.2">
      <c r="A357">
        <v>70052</v>
      </c>
      <c r="B357">
        <v>0</v>
      </c>
      <c r="C357">
        <f t="shared" si="47"/>
        <v>0</v>
      </c>
      <c r="D357">
        <f t="shared" si="48"/>
        <v>1</v>
      </c>
      <c r="E357">
        <v>2</v>
      </c>
      <c r="F357">
        <f t="shared" si="49"/>
        <v>0</v>
      </c>
      <c r="G357">
        <f t="shared" si="50"/>
        <v>1</v>
      </c>
      <c r="H357">
        <f t="shared" si="51"/>
        <v>0</v>
      </c>
      <c r="I357">
        <f t="shared" si="52"/>
        <v>0</v>
      </c>
      <c r="J357">
        <v>1</v>
      </c>
      <c r="K357">
        <v>3.7</v>
      </c>
      <c r="L357">
        <v>7.2</v>
      </c>
      <c r="M357">
        <v>2.2999999999999998</v>
      </c>
      <c r="N357">
        <v>9.1999999999999993</v>
      </c>
      <c r="O357" s="1">
        <f>((INT(N357)-INT(L357))*3)-(((L357-INT(L357))*10) - ((N357-INT(N357))*10))</f>
        <v>5.9999999999999911</v>
      </c>
      <c r="P357">
        <f t="shared" si="53"/>
        <v>0</v>
      </c>
      <c r="Q357">
        <v>0</v>
      </c>
      <c r="R357">
        <f t="shared" si="55"/>
        <v>1</v>
      </c>
    </row>
    <row r="358" spans="1:18" x14ac:dyDescent="0.2">
      <c r="A358">
        <v>70106</v>
      </c>
      <c r="B358">
        <v>0</v>
      </c>
      <c r="C358">
        <f t="shared" si="47"/>
        <v>0</v>
      </c>
      <c r="D358">
        <f t="shared" si="48"/>
        <v>1</v>
      </c>
      <c r="E358">
        <v>4</v>
      </c>
      <c r="F358">
        <f t="shared" si="49"/>
        <v>0</v>
      </c>
      <c r="G358">
        <f t="shared" si="50"/>
        <v>0</v>
      </c>
      <c r="H358">
        <f t="shared" si="51"/>
        <v>0</v>
      </c>
      <c r="I358">
        <f t="shared" si="52"/>
        <v>1</v>
      </c>
      <c r="J358">
        <v>0</v>
      </c>
      <c r="K358">
        <v>2.2999999999999998</v>
      </c>
      <c r="L358">
        <v>10.199999999999999</v>
      </c>
      <c r="M358">
        <v>2</v>
      </c>
      <c r="N358">
        <v>12.2</v>
      </c>
      <c r="O358" s="1">
        <f>((INT(N358)-INT(L358))*3)-(((L358-INT(L358))*10) - ((N358-INT(N358))*10))</f>
        <v>6</v>
      </c>
      <c r="P358">
        <f t="shared" si="53"/>
        <v>0</v>
      </c>
      <c r="Q358">
        <f t="shared" si="54"/>
        <v>0</v>
      </c>
      <c r="R358">
        <f t="shared" si="55"/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MAPre_newStudy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William G</dc:creator>
  <cp:lastModifiedBy>William Gregory Johnson</cp:lastModifiedBy>
  <dcterms:created xsi:type="dcterms:W3CDTF">2020-04-21T23:44:12Z</dcterms:created>
  <dcterms:modified xsi:type="dcterms:W3CDTF">2020-10-01T14:33:16Z</dcterms:modified>
</cp:coreProperties>
</file>